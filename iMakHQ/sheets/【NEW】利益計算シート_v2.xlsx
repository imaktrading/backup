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windowWidth="24191" windowHeight="7524" tabRatio="600" firstSheet="0" activeTab="1" autoFilterDateGrouping="1"/>
  </bookViews>
  <sheets>
    <sheet xmlns:r="http://schemas.openxmlformats.org/officeDocument/2006/relationships" name="設定" sheetId="1" state="visible" r:id="rId1"/>
    <sheet xmlns:r="http://schemas.openxmlformats.org/officeDocument/2006/relationships" name="US計算" sheetId="2" state="visible" r:id="rId2"/>
    <sheet xmlns:r="http://schemas.openxmlformats.org/officeDocument/2006/relationships" name="UK計算" sheetId="3" state="visible" r:id="rId3"/>
    <sheet xmlns:r="http://schemas.openxmlformats.org/officeDocument/2006/relationships" name="AU計算" sheetId="4" state="visible" r:id="rId4"/>
    <sheet xmlns:r="http://schemas.openxmlformats.org/officeDocument/2006/relationships" name="仕入GATE" sheetId="5" state="visible" r:id="rId5"/>
    <sheet xmlns:r="http://schemas.openxmlformats.org/officeDocument/2006/relationships" name="変更履歴" sheetId="6" state="visible" r:id="rId6"/>
    <sheet xmlns:r="http://schemas.openxmlformats.org/officeDocument/2006/relationships" name="DE計算" sheetId="7" state="visible" r:id="rId7"/>
  </sheets>
  <definedNames/>
  <calcPr calcId="144525" fullCalcOnLoad="1"/>
</workbook>
</file>

<file path=xl/styles.xml><?xml version="1.0" encoding="utf-8"?>
<styleSheet xmlns="http://schemas.openxmlformats.org/spreadsheetml/2006/main">
  <numFmts count="6">
    <numFmt numFmtId="164" formatCode="&quot;\&quot;#,##0"/>
    <numFmt numFmtId="165" formatCode="&quot;$&quot;#,##0.00"/>
    <numFmt numFmtId="166" formatCode="#,##0.000"/>
    <numFmt numFmtId="167" formatCode="_ * #,##0_ ;_ * \-#,##0_ ;_ * &quot;-&quot;??_ ;_ @_ "/>
    <numFmt numFmtId="168" formatCode="_-&quot;\&quot;* #,##0.00_-\ ;\-&quot;\&quot;* #,##0.00_-\ ;_-&quot;\&quot;* &quot;-&quot;??_-\ ;_-@_-"/>
    <numFmt numFmtId="169" formatCode="_-&quot;\&quot;* #,##0_-\ ;\-&quot;\&quot;* #,##0_-\ ;_-&quot;\&quot;* &quot;-&quot;??_-\ ;_-@_-"/>
  </numFmts>
  <fonts count="24">
    <font>
      <name val="ＭＳ Ｐゴシック"/>
      <charset val="134"/>
      <color theme="1"/>
      <sz val="11"/>
      <scheme val="minor"/>
    </font>
    <font>
      <name val="ＭＳ Ｐゴシック"/>
      <charset val="134"/>
      <b val="1"/>
      <sz val="11"/>
      <scheme val="minor"/>
    </font>
    <font>
      <name val="ＭＳ Ｐゴシック"/>
      <charset val="134"/>
      <i val="1"/>
      <color rgb="FF808080"/>
      <sz val="9"/>
      <scheme val="minor"/>
    </font>
    <font>
      <name val="ＭＳ Ｐゴシック"/>
      <charset val="134"/>
      <b val="1"/>
      <sz val="14"/>
      <scheme val="minor"/>
    </font>
    <font>
      <name val="ＭＳ Ｐゴシック"/>
      <charset val="134"/>
      <b val="1"/>
      <color theme="1"/>
      <sz val="11"/>
      <scheme val="minor"/>
    </font>
    <font>
      <name val="ＭＳ Ｐゴシック"/>
      <charset val="0"/>
      <color theme="0"/>
      <sz val="11"/>
      <scheme val="minor"/>
    </font>
    <font>
      <name val="ＭＳ Ｐゴシック"/>
      <charset val="0"/>
      <color theme="1"/>
      <sz val="11"/>
      <scheme val="minor"/>
    </font>
    <font>
      <name val="ＭＳ Ｐゴシック"/>
      <charset val="0"/>
      <b val="1"/>
      <color rgb="FF3F3F3F"/>
      <sz val="11"/>
      <scheme val="minor"/>
    </font>
    <font>
      <name val="ＭＳ Ｐゴシック"/>
      <charset val="0"/>
      <color rgb="FFFF0000"/>
      <sz val="11"/>
      <scheme val="minor"/>
    </font>
    <font>
      <name val="ＭＳ Ｐゴシック"/>
      <charset val="0"/>
      <color rgb="FF006100"/>
      <sz val="11"/>
      <scheme val="minor"/>
    </font>
    <font>
      <name val="ＭＳ Ｐゴシック"/>
      <charset val="0"/>
      <color rgb="FF0000FF"/>
      <sz val="11"/>
      <u val="single"/>
      <scheme val="minor"/>
    </font>
    <font>
      <name val="ＭＳ Ｐゴシック"/>
      <charset val="134"/>
      <b val="1"/>
      <color theme="3"/>
      <sz val="13"/>
      <scheme val="minor"/>
    </font>
    <font>
      <name val="ＭＳ Ｐゴシック"/>
      <charset val="0"/>
      <b val="1"/>
      <color rgb="FFFA7D00"/>
      <sz val="11"/>
      <scheme val="minor"/>
    </font>
    <font>
      <name val="ＭＳ Ｐゴシック"/>
      <charset val="134"/>
      <b val="1"/>
      <color theme="3"/>
      <sz val="11"/>
      <scheme val="minor"/>
    </font>
    <font>
      <name val="ＭＳ Ｐゴシック"/>
      <charset val="0"/>
      <i val="1"/>
      <color rgb="FF7F7F7F"/>
      <sz val="11"/>
      <scheme val="minor"/>
    </font>
    <font>
      <name val="ＭＳ Ｐゴシック"/>
      <charset val="0"/>
      <color rgb="FF3F3F76"/>
      <sz val="11"/>
      <scheme val="minor"/>
    </font>
    <font>
      <name val="ＭＳ Ｐゴシック"/>
      <charset val="0"/>
      <b val="1"/>
      <color rgb="FFFFFFFF"/>
      <sz val="11"/>
      <scheme val="minor"/>
    </font>
    <font>
      <name val="ＭＳ Ｐゴシック"/>
      <charset val="134"/>
      <b val="1"/>
      <color theme="3"/>
      <sz val="15"/>
      <scheme val="minor"/>
    </font>
    <font>
      <name val="ＭＳ Ｐゴシック"/>
      <charset val="0"/>
      <color rgb="FFFA7D00"/>
      <sz val="11"/>
      <scheme val="minor"/>
    </font>
    <font>
      <name val="ＭＳ Ｐゴシック"/>
      <charset val="0"/>
      <color rgb="FF9C6500"/>
      <sz val="11"/>
      <scheme val="minor"/>
    </font>
    <font>
      <name val="ＭＳ Ｐゴシック"/>
      <charset val="0"/>
      <b val="1"/>
      <color theme="1"/>
      <sz val="11"/>
      <scheme val="minor"/>
    </font>
    <font>
      <name val="ＭＳ Ｐゴシック"/>
      <charset val="134"/>
      <b val="1"/>
      <color theme="3"/>
      <sz val="18"/>
      <scheme val="minor"/>
    </font>
    <font>
      <name val="ＭＳ Ｐゴシック"/>
      <charset val="0"/>
      <color rgb="FF9C0006"/>
      <sz val="11"/>
      <scheme val="minor"/>
    </font>
    <font>
      <name val="ＭＳ Ｐゴシック"/>
      <charset val="0"/>
      <color rgb="FF800080"/>
      <sz val="11"/>
      <u val="single"/>
      <scheme val="minor"/>
    </font>
  </fonts>
  <fills count="41">
    <fill>
      <patternFill/>
    </fill>
    <fill>
      <patternFill patternType="gray125"/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BDD7EE"/>
        <bgColor rgb="FFBDD7EE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  <fill>
      <patternFill patternType="solid">
        <fgColor theme="9"/>
        <bgColor rgb="FFDDEBF7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0" fontId="15" fillId="30" borderId="4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0" fontId="6" fillId="28" borderId="0" applyAlignment="1">
      <alignment vertical="center"/>
    </xf>
    <xf numFmtId="169" fontId="0" fillId="0" borderId="0" applyAlignment="1">
      <alignment vertical="center"/>
    </xf>
    <xf numFmtId="0" fontId="6" fillId="21" borderId="0" applyAlignment="1">
      <alignment vertical="center"/>
    </xf>
    <xf numFmtId="0" fontId="0" fillId="15" borderId="2" applyAlignment="1">
      <alignment vertical="center"/>
    </xf>
    <xf numFmtId="9" fontId="0" fillId="0" borderId="0" applyAlignment="1">
      <alignment vertical="center"/>
    </xf>
    <xf numFmtId="0" fontId="10" fillId="0" borderId="0" applyAlignment="1">
      <alignment vertical="center"/>
    </xf>
    <xf numFmtId="0" fontId="5" fillId="20" borderId="0" applyAlignment="1">
      <alignment vertical="center"/>
    </xf>
    <xf numFmtId="0" fontId="23" fillId="0" borderId="0" applyAlignment="1">
      <alignment vertical="center"/>
    </xf>
    <xf numFmtId="0" fontId="9" fillId="19" borderId="0" applyAlignment="1">
      <alignment vertical="center"/>
    </xf>
    <xf numFmtId="0" fontId="8" fillId="0" borderId="0" applyAlignment="1">
      <alignment vertical="center"/>
    </xf>
    <xf numFmtId="0" fontId="18" fillId="0" borderId="7" applyAlignment="1">
      <alignment vertical="center"/>
    </xf>
    <xf numFmtId="0" fontId="21" fillId="0" borderId="0" applyAlignment="1">
      <alignment vertical="center"/>
    </xf>
    <xf numFmtId="0" fontId="14" fillId="0" borderId="0" applyAlignment="1">
      <alignment vertical="center"/>
    </xf>
    <xf numFmtId="0" fontId="5" fillId="10" borderId="0" applyAlignment="1">
      <alignment vertical="center"/>
    </xf>
    <xf numFmtId="0" fontId="7" fillId="14" borderId="1" applyAlignment="1">
      <alignment vertical="center"/>
    </xf>
    <xf numFmtId="0" fontId="17" fillId="0" borderId="3" applyAlignment="1">
      <alignment vertical="center"/>
    </xf>
    <xf numFmtId="0" fontId="11" fillId="0" borderId="3" applyAlignment="1">
      <alignment vertical="center"/>
    </xf>
    <xf numFmtId="0" fontId="12" fillId="14" borderId="4" applyAlignment="1">
      <alignment vertical="center"/>
    </xf>
    <xf numFmtId="0" fontId="13" fillId="0" borderId="5" applyAlignment="1">
      <alignment vertical="center"/>
    </xf>
    <xf numFmtId="0" fontId="13" fillId="0" borderId="0" applyAlignment="1">
      <alignment vertical="center"/>
    </xf>
    <xf numFmtId="0" fontId="5" fillId="35" borderId="0" applyAlignment="1">
      <alignment vertical="center"/>
    </xf>
    <xf numFmtId="0" fontId="16" fillId="32" borderId="6" applyAlignment="1">
      <alignment vertical="center"/>
    </xf>
    <xf numFmtId="0" fontId="6" fillId="34" borderId="0" applyAlignment="1">
      <alignment vertical="center"/>
    </xf>
    <xf numFmtId="0" fontId="20" fillId="0" borderId="8" applyAlignment="1">
      <alignment vertical="center"/>
    </xf>
    <xf numFmtId="0" fontId="22" fillId="40" borderId="0" applyAlignment="1">
      <alignment vertical="center"/>
    </xf>
    <xf numFmtId="0" fontId="19" fillId="33" borderId="0" applyAlignment="1">
      <alignment vertical="center"/>
    </xf>
    <xf numFmtId="0" fontId="5" fillId="27" borderId="0" applyAlignment="1">
      <alignment vertical="center"/>
    </xf>
    <xf numFmtId="0" fontId="6" fillId="39" borderId="0" applyAlignment="1">
      <alignment vertical="center"/>
    </xf>
    <xf numFmtId="0" fontId="6" fillId="26" borderId="0" applyAlignment="1">
      <alignment vertical="center"/>
    </xf>
    <xf numFmtId="0" fontId="5" fillId="13" borderId="0" applyAlignment="1">
      <alignment vertical="center"/>
    </xf>
    <xf numFmtId="0" fontId="6" fillId="24" borderId="0" applyAlignment="1">
      <alignment vertical="center"/>
    </xf>
    <xf numFmtId="0" fontId="6" fillId="12" borderId="0" applyAlignment="1">
      <alignment vertical="center"/>
    </xf>
    <xf numFmtId="0" fontId="6" fillId="31" borderId="0" applyAlignment="1">
      <alignment vertical="center"/>
    </xf>
    <xf numFmtId="0" fontId="5" fillId="38" borderId="0" applyAlignment="1">
      <alignment vertical="center"/>
    </xf>
    <xf numFmtId="0" fontId="5" fillId="25" borderId="0" applyAlignment="1">
      <alignment vertical="center"/>
    </xf>
    <xf numFmtId="0" fontId="6" fillId="18" borderId="0" applyAlignment="1">
      <alignment vertical="center"/>
    </xf>
    <xf numFmtId="0" fontId="6" fillId="23" borderId="0" applyAlignment="1">
      <alignment vertical="center"/>
    </xf>
    <xf numFmtId="0" fontId="5" fillId="37" borderId="0" applyAlignment="1">
      <alignment vertical="center"/>
    </xf>
    <xf numFmtId="0" fontId="5" fillId="11" borderId="0" applyAlignment="1">
      <alignment vertical="center"/>
    </xf>
    <xf numFmtId="0" fontId="6" fillId="17" borderId="0" applyAlignment="1">
      <alignment vertical="center"/>
    </xf>
    <xf numFmtId="0" fontId="5" fillId="16" borderId="0" applyAlignment="1">
      <alignment vertical="center"/>
    </xf>
    <xf numFmtId="0" fontId="5" fillId="36" borderId="0" applyAlignment="1">
      <alignment vertical="center"/>
    </xf>
    <xf numFmtId="0" fontId="6" fillId="22" borderId="0" applyAlignment="1">
      <alignment vertical="center"/>
    </xf>
    <xf numFmtId="0" fontId="5" fillId="29" borderId="0" applyAlignment="1">
      <alignment vertical="center"/>
    </xf>
  </cellStyleXfs>
  <cellXfs count="31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" fillId="0" borderId="0" pivotButton="0" quotePrefix="0" xfId="0"/>
    <xf numFmtId="164" fontId="0" fillId="8" borderId="0" pivotButton="0" quotePrefix="0" xfId="0"/>
    <xf numFmtId="0" fontId="0" fillId="8" borderId="0" pivotButton="0" quotePrefix="0" xfId="0"/>
    <xf numFmtId="0" fontId="2" fillId="0" borderId="0" pivotButton="0" quotePrefix="0" xfId="0"/>
    <xf numFmtId="165" fontId="0" fillId="8" borderId="0" pivotButton="0" quotePrefix="0" xfId="0"/>
    <xf numFmtId="164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1" fillId="8" borderId="0" pivotButton="0" quotePrefix="0" xfId="0"/>
    <xf numFmtId="0" fontId="1" fillId="3" borderId="0" applyAlignment="1" pivotButton="0" quotePrefix="0" xfId="0">
      <alignment horizontal="center"/>
    </xf>
    <xf numFmtId="10" fontId="0" fillId="8" borderId="0" pivotButton="0" quotePrefix="0" xfId="0"/>
    <xf numFmtId="0" fontId="1" fillId="9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10" borderId="0" pivotButton="0" quotePrefix="0" xfId="0"/>
    <xf numFmtId="0" fontId="1" fillId="0" borderId="0" applyAlignment="1" pivotButton="0" quotePrefix="0" xfId="0">
      <alignment horizontal="center"/>
    </xf>
    <xf numFmtId="164" fontId="4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4" fontId="4" fillId="0" borderId="0" pivotButton="0" quotePrefix="0" xfId="0"/>
    <xf numFmtId="164" fontId="0" fillId="8" borderId="0" pivotButton="0" quotePrefix="0" xfId="0"/>
    <xf numFmtId="165" fontId="0" fillId="8" borderId="0" pivotButton="0" quotePrefix="0" xfId="0"/>
    <xf numFmtId="165" fontId="0" fillId="0" borderId="0" pivotButton="0" quotePrefix="0" xfId="0"/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B9" sqref="B9"/>
    </sheetView>
  </sheetViews>
  <sheetFormatPr baseColWidth="8" defaultColWidth="9" defaultRowHeight="13.2"/>
  <cols>
    <col width="28" customWidth="1" min="1" max="1"/>
    <col width="14" customWidth="1" min="2" max="2"/>
    <col width="18" customWidth="1" min="3" max="3"/>
    <col width="48" customWidth="1" min="4" max="4"/>
  </cols>
  <sheetData>
    <row r="1">
      <c r="A1" s="1" t="inlineStr">
        <is>
          <t>■ 共通設定</t>
        </is>
      </c>
    </row>
    <row r="2">
      <c r="A2" t="inlineStr">
        <is>
          <t>為替レート (USD→JPY)</t>
        </is>
      </c>
      <c r="B2" s="25">
        <f>IFERROR(GOOGLEFINANCE("CURRENCY:USDJPY"),159.245)</f>
        <v/>
      </c>
      <c r="D2" s="10" t="inlineStr">
        <is>
          <t>Google Sheetsで自動更新 / Excelではフォールバック159.245</t>
        </is>
      </c>
      <c r="E2" t="inlineStr">
        <is>
          <t>EUR/JPY</t>
        </is>
      </c>
      <c r="F2" t="n">
        <v>187</v>
      </c>
      <c r="G2" t="inlineStr">
        <is>
          <t>GBP/JPY</t>
        </is>
      </c>
      <c r="H2" t="n">
        <v>210</v>
      </c>
      <c r="I2" t="inlineStr">
        <is>
          <t>AUD/JPY</t>
        </is>
      </c>
      <c r="J2" t="n">
        <v>114</v>
      </c>
    </row>
    <row r="3">
      <c r="A3" t="inlineStr">
        <is>
          <t>実効プロモ率</t>
        </is>
      </c>
      <c r="B3" s="13" t="n">
        <v>0.1</v>
      </c>
      <c r="D3" s="10" t="inlineStr">
        <is>
          <t>販売実績実測5.82% → 6%(保守的round up)。旧11%から修正</t>
        </is>
      </c>
    </row>
    <row r="4">
      <c r="A4" t="inlineStr">
        <is>
          <t>ペイオニア手数料率</t>
        </is>
      </c>
      <c r="B4" s="13" t="n">
        <v>0.025</v>
      </c>
      <c r="D4" s="10" t="inlineStr">
        <is>
          <t>FXマークアップ+銀行出金の合算推定 (新規追加)</t>
        </is>
      </c>
    </row>
    <row r="5">
      <c r="A5" t="inlineStr">
        <is>
          <t>目標最低利益率</t>
        </is>
      </c>
      <c r="B5" s="13" t="n">
        <v>0.1</v>
      </c>
      <c r="D5" s="10" t="inlineStr">
        <is>
          <t>仕入GATE判定の閾値</t>
        </is>
      </c>
    </row>
    <row r="7">
      <c r="A7" s="1" t="inlineStr">
        <is>
          <t>■ 国別eBay実効手数料率</t>
        </is>
      </c>
    </row>
    <row r="8">
      <c r="A8" s="2" t="inlineStr">
        <is>
          <t>国</t>
        </is>
      </c>
      <c r="B8" s="2" t="inlineStr">
        <is>
          <t>実効率</t>
        </is>
      </c>
      <c r="C8" s="2" t="inlineStr">
        <is>
          <t>備考(実測値)</t>
        </is>
      </c>
    </row>
    <row r="9">
      <c r="A9" t="inlineStr">
        <is>
          <t>US</t>
        </is>
      </c>
      <c r="B9" s="13" t="n">
        <v>0.185</v>
      </c>
      <c r="C9" s="10" t="inlineStr">
        <is>
          <t>実測18.53%</t>
        </is>
      </c>
    </row>
    <row r="10">
      <c r="A10" t="inlineStr">
        <is>
          <t>UK</t>
        </is>
      </c>
      <c r="B10" s="13" t="n">
        <v>0.225</v>
      </c>
      <c r="C10" s="10" t="inlineStr">
        <is>
          <t>実測22.55% (VAT関連)</t>
        </is>
      </c>
    </row>
    <row r="11">
      <c r="A11" t="inlineStr">
        <is>
          <t>AU</t>
        </is>
      </c>
      <c r="B11" s="13" t="n">
        <v>0.15</v>
      </c>
      <c r="C11" s="10" t="inlineStr">
        <is>
          <t>実測14.88%</t>
        </is>
      </c>
    </row>
    <row r="12">
      <c r="A12" t="inlineStr">
        <is>
          <t>EU</t>
        </is>
      </c>
      <c r="B12" s="13" t="n">
        <v>0.185</v>
      </c>
      <c r="C12" s="10" t="inlineStr">
        <is>
          <t>US相当想定</t>
        </is>
      </c>
    </row>
    <row r="13">
      <c r="A13" t="inlineStr">
        <is>
          <t>その他</t>
        </is>
      </c>
      <c r="B13" s="13" t="n">
        <v>0.18</v>
      </c>
      <c r="C13" s="10" t="inlineStr">
        <is>
          <t>平均想定</t>
        </is>
      </c>
    </row>
    <row r="15">
      <c r="A15" s="1" t="inlineStr">
        <is>
          <t>■ カテゴリ設定</t>
        </is>
      </c>
    </row>
    <row r="16">
      <c r="A16" s="2" t="inlineStr">
        <is>
          <t>カテゴリ名</t>
        </is>
      </c>
      <c r="B16" s="2" t="inlineStr">
        <is>
          <t>公式FVF</t>
        </is>
      </c>
      <c r="C16" s="2" t="inlineStr">
        <is>
          <t>実送料(JPY)</t>
        </is>
      </c>
      <c r="D16" s="2" t="inlineStr">
        <is>
          <t>備考</t>
        </is>
      </c>
    </row>
    <row r="17">
      <c r="A17" t="inlineStr">
        <is>
          <t>TCG(PSA10)</t>
        </is>
      </c>
      <c r="B17" s="13" t="n">
        <v>0.1325</v>
      </c>
      <c r="C17" s="26" t="n">
        <v>2000</v>
      </c>
      <c r="D17" s="10" t="inlineStr">
        <is>
          <t>新カテゴリ・データ蓄積中</t>
        </is>
      </c>
    </row>
    <row r="18">
      <c r="A18" t="inlineStr">
        <is>
          <t>G-SHOCK</t>
        </is>
      </c>
      <c r="B18" s="13" t="n">
        <v>0.1325</v>
      </c>
      <c r="C18" s="26" t="n">
        <v>2000</v>
      </c>
      <c r="D18" s="10" t="inlineStr">
        <is>
          <t>年11件・黒字率73%</t>
        </is>
      </c>
    </row>
    <row r="19">
      <c r="A19" t="inlineStr">
        <is>
          <t>Tシャツ(UT)</t>
        </is>
      </c>
      <c r="B19" s="13" t="n">
        <v>0.153</v>
      </c>
      <c r="C19" s="26" t="n">
        <v>2000</v>
      </c>
      <c r="D19" s="10" t="inlineStr">
        <is>
          <t>★主力 年33件・黒字率91%</t>
        </is>
      </c>
    </row>
    <row r="20">
      <c r="A20" t="inlineStr">
        <is>
          <t>Montbell(一般)</t>
        </is>
      </c>
      <c r="B20" s="13" t="n">
        <v>0.153</v>
      </c>
      <c r="C20" s="26" t="n">
        <v>2000</v>
      </c>
      <c r="D20" s="10" t="inlineStr">
        <is>
          <t>バッグ小物・非アウター</t>
        </is>
      </c>
    </row>
    <row r="21">
      <c r="A21" t="inlineStr">
        <is>
          <t>Montbell(ジャケット)</t>
        </is>
      </c>
      <c r="B21" s="13" t="n">
        <v>0.153</v>
      </c>
      <c r="C21" s="26" t="n">
        <v>4500</v>
      </c>
      <c r="D21" s="10" t="inlineStr">
        <is>
          <t>嵩張り注意・送料厚め</t>
        </is>
      </c>
    </row>
    <row r="22">
      <c r="A22" t="inlineStr">
        <is>
          <t>一番くじ</t>
        </is>
      </c>
      <c r="B22" s="13" t="n">
        <v>0.1325</v>
      </c>
      <c r="C22" s="26" t="n">
        <v>2500</v>
      </c>
      <c r="D22" s="10" t="inlineStr">
        <is>
          <t>新・実測調整中</t>
        </is>
      </c>
    </row>
    <row r="23">
      <c r="A23" t="inlineStr">
        <is>
          <t>フィギュア</t>
        </is>
      </c>
      <c r="B23" s="13" t="n">
        <v>0.1325</v>
      </c>
      <c r="C23" s="26" t="n">
        <v>3500</v>
      </c>
      <c r="D23" s="10" t="inlineStr"/>
    </row>
    <row r="24">
      <c r="A24" t="inlineStr">
        <is>
          <t>ユニクロ(非UT)</t>
        </is>
      </c>
      <c r="B24" s="13" t="n">
        <v>0.153</v>
      </c>
      <c r="C24" s="26" t="n">
        <v>2000</v>
      </c>
      <c r="D24" s="10" t="inlineStr"/>
    </row>
    <row r="25">
      <c r="A25" t="inlineStr">
        <is>
          <t>サンリオ文具</t>
        </is>
      </c>
      <c r="B25" s="13" t="n">
        <v>0.1325</v>
      </c>
      <c r="C25" s="26" t="n">
        <v>2000</v>
      </c>
      <c r="D25" s="10" t="inlineStr"/>
    </row>
    <row r="26">
      <c r="A26" t="inlineStr">
        <is>
          <t>ヴィンテージ玩具</t>
        </is>
      </c>
      <c r="B26" s="13" t="n">
        <v>0.1325</v>
      </c>
      <c r="C26" s="26" t="n">
        <v>2500</v>
      </c>
      <c r="D26" s="10" t="inlineStr"/>
    </row>
    <row r="27">
      <c r="A27" t="inlineStr">
        <is>
          <t>トミカ</t>
        </is>
      </c>
      <c r="B27" s="13" t="n">
        <v>0.1325</v>
      </c>
      <c r="C27" s="26" t="n">
        <v>2000</v>
      </c>
      <c r="D27" s="10" t="inlineStr"/>
    </row>
    <row r="28">
      <c r="A28" t="inlineStr">
        <is>
          <t>POPMart</t>
        </is>
      </c>
      <c r="B28" s="13" t="n">
        <v>0.1325</v>
      </c>
      <c r="C28" s="26" t="n">
        <v>2500</v>
      </c>
      <c r="D28" s="10" t="inlineStr"/>
    </row>
    <row r="29">
      <c r="A29" t="inlineStr">
        <is>
          <t>ガシャポン</t>
        </is>
      </c>
      <c r="B29" s="13" t="n">
        <v>0.1325</v>
      </c>
      <c r="C29" s="26" t="n">
        <v>2000</v>
      </c>
      <c r="D29" s="10" t="inlineStr"/>
    </row>
    <row r="30">
      <c r="A30" t="inlineStr">
        <is>
          <t>ダイソー</t>
        </is>
      </c>
      <c r="B30" s="13" t="n">
        <v>0.1325</v>
      </c>
      <c r="C30" s="26" t="n">
        <v>2000</v>
      </c>
      <c r="D30" s="10" t="inlineStr">
        <is>
          <t>薄利注意</t>
        </is>
      </c>
    </row>
    <row r="31">
      <c r="A31" t="inlineStr">
        <is>
          <t>バッグ(アネロ)</t>
        </is>
      </c>
      <c r="B31" s="13" t="n">
        <v>0.153</v>
      </c>
      <c r="C31" s="26" t="n">
        <v>2500</v>
      </c>
      <c r="D31" s="10" t="inlineStr"/>
    </row>
    <row r="32">
      <c r="A32" t="inlineStr">
        <is>
          <t>サンリオぬいぐるみ</t>
        </is>
      </c>
      <c r="B32" s="13" t="n">
        <v>0.1325</v>
      </c>
      <c r="C32" s="26" t="n">
        <v>2500</v>
      </c>
      <c r="D32" s="10" t="inlineStr"/>
    </row>
    <row r="34">
      <c r="A34" s="1" t="inlineStr">
        <is>
          <t>■ eBay公式 FVF 参考値 (2026)</t>
        </is>
      </c>
    </row>
    <row r="35">
      <c r="A35" s="10" t="inlineStr">
        <is>
          <t>※ 参考情報のみ。主計算には国別実効率(B9-B13)を使用中</t>
        </is>
      </c>
    </row>
    <row r="37">
      <c r="A37" s="2" t="inlineStr">
        <is>
          <t>カテゴリグループ</t>
        </is>
      </c>
      <c r="B37" s="2" t="inlineStr">
        <is>
          <t>公式FVF</t>
        </is>
      </c>
      <c r="C37" s="2" t="inlineStr">
        <is>
          <t>+共通費</t>
        </is>
      </c>
      <c r="D37" s="2" t="inlineStr">
        <is>
          <t>備考</t>
        </is>
      </c>
    </row>
    <row r="38">
      <c r="A38" t="inlineStr">
        <is>
          <t>TCG/Toys/Collectibles系</t>
        </is>
      </c>
      <c r="B38" s="13" t="n">
        <v>0.1325</v>
      </c>
      <c r="C38" s="13" t="n">
        <v>0.1525</v>
      </c>
      <c r="D38" s="10" t="inlineStr">
        <is>
          <t>TCG/G-SHOCK/一番くじ/フィギュア/トミカ/ガチャ等</t>
        </is>
      </c>
    </row>
    <row r="39">
      <c r="A39" t="inlineStr">
        <is>
          <t>Clothing Shoes &amp; Accessories</t>
        </is>
      </c>
      <c r="B39" s="13" t="n">
        <v>0.153</v>
      </c>
      <c r="C39" s="13" t="n">
        <v>0.173</v>
      </c>
      <c r="D39" s="10" t="inlineStr">
        <is>
          <t>UT/ユニクロ/Montbell(全)/バッグ(アネロ)</t>
        </is>
      </c>
    </row>
    <row r="41">
      <c r="A41" s="1" t="inlineStr">
        <is>
          <t>■ 共通プラットフォーム費 (内訳)</t>
        </is>
      </c>
    </row>
    <row r="42">
      <c r="A42" t="inlineStr">
        <is>
          <t>International fee (国際料)</t>
        </is>
      </c>
      <c r="B42" s="13" t="n">
        <v>0.0165</v>
      </c>
      <c r="D42" s="10" t="inlineStr">
        <is>
          <t>日本→海外クロスボーダー販売に常時</t>
        </is>
      </c>
    </row>
    <row r="43">
      <c r="A43" t="inlineStr">
        <is>
          <t>Regulatory operating fee</t>
        </is>
      </c>
      <c r="B43" s="13" t="n">
        <v>0.0035</v>
      </c>
      <c r="D43" s="10" t="inlineStr">
        <is>
          <t>静的な規制手数料</t>
        </is>
      </c>
    </row>
    <row r="44">
      <c r="A44" t="inlineStr">
        <is>
          <t>合計 (カテゴリFVFに加算)</t>
        </is>
      </c>
      <c r="B44" s="13" t="n">
        <v>0.02</v>
      </c>
      <c r="D44" s="10" t="inlineStr">
        <is>
          <t>大半のクロスボーダー販売で常時加算</t>
        </is>
      </c>
    </row>
    <row r="45">
      <c r="A45" t="inlineStr">
        <is>
          <t>Per order fee ≤$10</t>
        </is>
      </c>
      <c r="D45" s="10" t="inlineStr">
        <is>
          <t>$0.30 固定</t>
        </is>
      </c>
    </row>
    <row r="46">
      <c r="A46" t="inlineStr">
        <is>
          <t>Per order fee &gt;$10</t>
        </is>
      </c>
      <c r="D46" s="10" t="inlineStr">
        <is>
          <t>$0.40 固定</t>
        </is>
      </c>
    </row>
    <row r="48">
      <c r="A48" s="1" t="inlineStr">
        <is>
          <t>■ 国別補正 (公式vs実測の差)</t>
        </is>
      </c>
    </row>
    <row r="49">
      <c r="A49" s="2" t="inlineStr">
        <is>
          <t>国</t>
        </is>
      </c>
      <c r="B49" s="2" t="inlineStr">
        <is>
          <t>公式(Clothing)</t>
        </is>
      </c>
      <c r="C49" s="2" t="inlineStr">
        <is>
          <t>実測</t>
        </is>
      </c>
      <c r="D49" s="2" t="inlineStr">
        <is>
          <t>差 (VAT/不明分)</t>
        </is>
      </c>
    </row>
    <row r="50">
      <c r="A50" t="inlineStr">
        <is>
          <t>US</t>
        </is>
      </c>
      <c r="B50" s="13" t="n">
        <v>0.173</v>
      </c>
      <c r="C50" s="13" t="n">
        <v>0.1853</v>
      </c>
      <c r="D50" s="10" t="inlineStr">
        <is>
          <t>+1.23% (ほぼ誤差)</t>
        </is>
      </c>
    </row>
    <row r="51">
      <c r="A51" t="inlineStr">
        <is>
          <t>UK</t>
        </is>
      </c>
      <c r="B51" s="13" t="n">
        <v>0.173</v>
      </c>
      <c r="C51" s="13" t="n">
        <v>0.2255</v>
      </c>
      <c r="D51" s="10" t="inlineStr">
        <is>
          <t>+5.25% ⚠ VAT handling 由来と推定</t>
        </is>
      </c>
    </row>
    <row r="52">
      <c r="A52" t="inlineStr">
        <is>
          <t>AU</t>
        </is>
      </c>
      <c r="B52" s="13" t="n">
        <v>0.173</v>
      </c>
      <c r="C52" s="13" t="n">
        <v>0.1488</v>
      </c>
      <c r="D52" s="10" t="inlineStr">
        <is>
          <t>-2.42% (GST構造差)</t>
        </is>
      </c>
    </row>
    <row r="54">
      <c r="A54" s="10" t="inlineStr">
        <is>
          <t>出典: eBay公式 (Selling Fees / International Fees ページ, 2026年)</t>
        </is>
      </c>
    </row>
  </sheetData>
  <mergeCells count="2">
    <mergeCell ref="A35:D35"/>
    <mergeCell ref="A54:D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"/>
  <sheetViews>
    <sheetView tabSelected="1" workbookViewId="0">
      <pane ySplit="2" topLeftCell="A3" activePane="bottomLeft" state="frozen"/>
      <selection activeCell="A1" sqref="A1"/>
      <selection pane="bottomLeft" activeCell="D4" sqref="D4"/>
    </sheetView>
  </sheetViews>
  <sheetFormatPr baseColWidth="8" defaultColWidth="9" defaultRowHeight="13.2"/>
  <cols>
    <col width="11" customWidth="1" min="1" max="1"/>
    <col width="13" customWidth="1" min="2" max="2"/>
    <col width="11" customWidth="1" min="3" max="3"/>
    <col width="13" customWidth="1" min="4" max="5"/>
    <col width="12" customWidth="1" min="6" max="7"/>
    <col width="11" customWidth="1" min="8" max="8"/>
    <col width="14" customWidth="1" min="9" max="9"/>
    <col width="11" customWidth="1" min="10" max="10"/>
    <col width="10" customWidth="1" min="11" max="11"/>
    <col width="14" customWidth="1" min="12" max="12"/>
    <col width="10" customWidth="1" min="13" max="13"/>
    <col width="14" customWidth="1" min="14" max="16"/>
    <col width="10" customWidth="1" min="17" max="17"/>
    <col width="11" customWidth="1" min="18" max="18"/>
    <col width="10" customWidth="1" min="19" max="19"/>
    <col width="11" customWidth="1" min="20" max="20"/>
    <col width="10" customWidth="1" min="21" max="21"/>
  </cols>
  <sheetData>
    <row r="1">
      <c r="A1" s="7" t="inlineStr">
        <is>
          <t>国</t>
        </is>
      </c>
      <c r="B1" t="inlineStr">
        <is>
          <t>US</t>
        </is>
      </c>
      <c r="C1" s="7" t="inlineStr">
        <is>
          <t>為替</t>
        </is>
      </c>
      <c r="D1" s="25">
        <f>設定!$B$2</f>
        <v/>
      </c>
      <c r="E1" s="7" t="inlineStr">
        <is>
          <t>カテゴリ</t>
        </is>
      </c>
      <c r="F1" s="17" t="inlineStr">
        <is>
          <t>Tシャツ(UT)</t>
        </is>
      </c>
      <c r="H1" s="7" t="inlineStr">
        <is>
          <t>手数料率</t>
        </is>
      </c>
      <c r="I1" s="13">
        <f>VLOOKUP(F1,設定!$A$17:$B$32,2,FALSE)+0.02+K1</f>
        <v/>
      </c>
      <c r="J1" s="7" t="inlineStr">
        <is>
          <t>国別補正</t>
        </is>
      </c>
      <c r="K1" s="19" t="n">
        <v>0</v>
      </c>
      <c r="R1" s="7" t="inlineStr">
        <is>
          <t>プロモ</t>
        </is>
      </c>
      <c r="S1" s="13">
        <f>設定!$B$3</f>
        <v/>
      </c>
      <c r="T1" s="7" t="inlineStr">
        <is>
          <t>Payo</t>
        </is>
      </c>
      <c r="U1" s="13">
        <f>設定!$B$4</f>
        <v/>
      </c>
    </row>
    <row r="2">
      <c r="A2" s="18" t="inlineStr">
        <is>
          <t>送料込み</t>
        </is>
      </c>
      <c r="B2" s="18" t="inlineStr">
        <is>
          <t>割引率</t>
        </is>
      </c>
      <c r="D2" s="18" t="inlineStr">
        <is>
          <t>出品価格($)</t>
        </is>
      </c>
      <c r="E2" s="18" t="inlineStr">
        <is>
          <t>仕入(¥)</t>
        </is>
      </c>
      <c r="F2" s="20" t="inlineStr">
        <is>
          <t>ポイント還元</t>
        </is>
      </c>
      <c r="G2" s="18" t="inlineStr">
        <is>
          <t>売上(¥)</t>
        </is>
      </c>
      <c r="H2" s="18" t="inlineStr">
        <is>
          <t>実送料(¥)</t>
        </is>
      </c>
      <c r="I2" s="18" t="inlineStr">
        <is>
          <t>eBay手数料(¥)</t>
        </is>
      </c>
      <c r="J2" s="18" t="inlineStr">
        <is>
          <t>DDP送料($)</t>
        </is>
      </c>
      <c r="K2" s="18" t="inlineStr">
        <is>
          <t>プロモ率</t>
        </is>
      </c>
      <c r="L2" s="18" t="inlineStr">
        <is>
          <t>利益(¥)</t>
        </is>
      </c>
      <c r="M2" s="18" t="inlineStr">
        <is>
          <t>利益率</t>
        </is>
      </c>
      <c r="N2" s="18" t="inlineStr">
        <is>
          <t>プロモ費(¥)</t>
        </is>
      </c>
      <c r="P2" s="18" t="inlineStr">
        <is>
          <t>Payo費(¥)</t>
        </is>
      </c>
    </row>
    <row r="3">
      <c r="A3">
        <f>D3+J3</f>
        <v/>
      </c>
      <c r="B3" s="23" t="inlineStr">
        <is>
          <t>推奨</t>
        </is>
      </c>
      <c r="C3">
        <f>J18</f>
        <v/>
      </c>
      <c r="D3">
        <f>INT(C3)+0.98</f>
        <v/>
      </c>
      <c r="E3" s="26">
        <f>$E$4</f>
        <v/>
      </c>
      <c r="F3" s="22">
        <f>$F$4</f>
        <v/>
      </c>
      <c r="G3" s="26">
        <f>D3*$D$1</f>
        <v/>
      </c>
      <c r="H3" s="26">
        <f>$H$4</f>
        <v/>
      </c>
      <c r="I3" s="26">
        <f>((D3+J3)*$D$1)*$I$1</f>
        <v/>
      </c>
      <c r="J3">
        <f>_xlfn.IFS(D3&gt;=800,260,D3&gt;=600,210,D3&gt;=500,155,D3&gt;=400,130,D3&gt;=300,105,D3&gt;=200,75,D3&gt;=100,50,D3&gt;=60,30,D3&gt;=40,20,D3&lt;40,15)</f>
        <v/>
      </c>
      <c r="K3" s="13">
        <f>$S$1</f>
        <v/>
      </c>
      <c r="L3" s="27">
        <f>G3-H3-I3-E3-N3-P3+F3</f>
        <v/>
      </c>
      <c r="M3" s="13">
        <f>L3/G3</f>
        <v/>
      </c>
      <c r="N3" s="26">
        <f>(D3+J3)*K3*$D$1</f>
        <v/>
      </c>
      <c r="P3" s="26">
        <f>G3*$U$1</f>
        <v/>
      </c>
    </row>
    <row r="4">
      <c r="A4">
        <f>D4+J4</f>
        <v/>
      </c>
      <c r="B4" s="23" t="inlineStr">
        <is>
          <t>出品中</t>
        </is>
      </c>
      <c r="C4" s="9" t="n">
        <v>59</v>
      </c>
      <c r="D4">
        <f>INT(C4)+0.98</f>
        <v/>
      </c>
      <c r="E4" s="28" t="n">
        <v>2400</v>
      </c>
      <c r="F4" s="22" t="n"/>
      <c r="G4" s="26">
        <f>D4*$D$1</f>
        <v/>
      </c>
      <c r="H4" s="28" t="n">
        <v>2000</v>
      </c>
      <c r="I4" s="26">
        <f>((D4+J4)*$D$1)*$I$1</f>
        <v/>
      </c>
      <c r="J4">
        <f>_xlfn.IFS(D4&gt;=800,260,D4&gt;=600,210,D4&gt;=500,155,D4&gt;=400,130,D4&gt;=300,105,D4&gt;=200,75,D4&gt;=100,50,D4&gt;=60,30,D4&gt;=40,20,D4&lt;40,15)</f>
        <v/>
      </c>
      <c r="K4" s="13">
        <f>$S$1</f>
        <v/>
      </c>
      <c r="L4" s="27">
        <f>G4-H4-I4-E4-N4-P4+F4</f>
        <v/>
      </c>
      <c r="M4" s="13">
        <f>L4/G4</f>
        <v/>
      </c>
      <c r="N4" s="26">
        <f>(D4+J4)*K4*$D$1</f>
        <v/>
      </c>
      <c r="P4" s="26">
        <f>G4*$U$1</f>
        <v/>
      </c>
    </row>
    <row r="5">
      <c r="A5">
        <f>D5+J5</f>
        <v/>
      </c>
      <c r="B5" s="13" t="n">
        <v>0.05</v>
      </c>
      <c r="C5">
        <f>$C$4*(1-B5)</f>
        <v/>
      </c>
      <c r="D5">
        <f>INT(C5)+0.98</f>
        <v/>
      </c>
      <c r="E5" s="26">
        <f>$E$4</f>
        <v/>
      </c>
      <c r="F5" s="22">
        <f>$F$4</f>
        <v/>
      </c>
      <c r="G5" s="26">
        <f>D5*$D$1</f>
        <v/>
      </c>
      <c r="H5" s="26">
        <f>$H$4</f>
        <v/>
      </c>
      <c r="I5" s="26">
        <f>((D5+J5)*$D$1)*$I$1</f>
        <v/>
      </c>
      <c r="J5">
        <f>_xlfn.IFS(D5&gt;=800,260,D5&gt;=600,210,D5&gt;=500,155,D5&gt;=400,130,D5&gt;=300,105,D5&gt;=200,75,D5&gt;=100,50,D5&gt;=60,30,D5&gt;=40,20,D5&lt;40,15)</f>
        <v/>
      </c>
      <c r="K5" s="13">
        <f>$S$1</f>
        <v/>
      </c>
      <c r="L5" s="27">
        <f>G5-H5-I5-E5-N5-P5+F5</f>
        <v/>
      </c>
      <c r="M5" s="13">
        <f>L5/G5</f>
        <v/>
      </c>
      <c r="N5" s="26">
        <f>(D5+J5)*K5*$D$1</f>
        <v/>
      </c>
      <c r="P5" s="26">
        <f>G5*$U$1</f>
        <v/>
      </c>
    </row>
    <row r="6">
      <c r="A6">
        <f>D6+J6</f>
        <v/>
      </c>
      <c r="B6" s="13" t="n">
        <v>0.08</v>
      </c>
      <c r="C6">
        <f>$C$4*(1-B6)</f>
        <v/>
      </c>
      <c r="D6">
        <f>INT(C6)+0.98</f>
        <v/>
      </c>
      <c r="E6" s="26">
        <f>$E$4</f>
        <v/>
      </c>
      <c r="F6" s="22">
        <f>$F$4</f>
        <v/>
      </c>
      <c r="G6" s="26">
        <f>D6*$D$1</f>
        <v/>
      </c>
      <c r="H6" s="26">
        <f>$H$4</f>
        <v/>
      </c>
      <c r="I6" s="26">
        <f>((D6+J6)*$D$1)*$I$1</f>
        <v/>
      </c>
      <c r="J6">
        <f>_xlfn.IFS(D6&gt;=800,260,D6&gt;=600,210,D6&gt;=500,155,D6&gt;=400,130,D6&gt;=300,105,D6&gt;=200,75,D6&gt;=100,50,D6&gt;=60,30,D6&gt;=40,20,D6&lt;40,15)</f>
        <v/>
      </c>
      <c r="K6" s="13">
        <f>$S$1</f>
        <v/>
      </c>
      <c r="L6" s="27">
        <f>G6-H6-I6-E6-N6-P6+F6</f>
        <v/>
      </c>
      <c r="M6" s="13">
        <f>L6/G6</f>
        <v/>
      </c>
      <c r="N6" s="26">
        <f>(D6+J6)*K6*$D$1</f>
        <v/>
      </c>
      <c r="P6" s="26">
        <f>G6*$U$1</f>
        <v/>
      </c>
    </row>
    <row r="7">
      <c r="A7">
        <f>D7+J7</f>
        <v/>
      </c>
      <c r="B7" s="13" t="n">
        <v>0.1</v>
      </c>
      <c r="C7">
        <f>$C$4*(1-B7)</f>
        <v/>
      </c>
      <c r="D7">
        <f>INT(C7)+0.98</f>
        <v/>
      </c>
      <c r="E7" s="26">
        <f>$E$4</f>
        <v/>
      </c>
      <c r="F7" s="22">
        <f>$F$4</f>
        <v/>
      </c>
      <c r="G7" s="26">
        <f>D7*$D$1</f>
        <v/>
      </c>
      <c r="H7" s="26">
        <f>$H$4</f>
        <v/>
      </c>
      <c r="I7" s="26">
        <f>((D7+J7)*$D$1)*$I$1</f>
        <v/>
      </c>
      <c r="J7">
        <f>_xlfn.IFS(D7&gt;=800,260,D7&gt;=600,210,D7&gt;=500,155,D7&gt;=400,130,D7&gt;=300,105,D7&gt;=200,75,D7&gt;=100,50,D7&gt;=60,30,D7&gt;=40,20,D7&lt;40,15)</f>
        <v/>
      </c>
      <c r="K7" s="13">
        <f>$S$1</f>
        <v/>
      </c>
      <c r="L7" s="27">
        <f>G7-H7-I7-E7-N7-P7+F7</f>
        <v/>
      </c>
      <c r="M7" s="13">
        <f>L7/G7</f>
        <v/>
      </c>
      <c r="N7" s="26">
        <f>(D7+J7)*K7*$D$1</f>
        <v/>
      </c>
      <c r="P7" s="26">
        <f>G7*$U$1</f>
        <v/>
      </c>
    </row>
    <row r="8">
      <c r="A8">
        <f>D8+J8</f>
        <v/>
      </c>
      <c r="B8" s="13" t="n">
        <v>0.15</v>
      </c>
      <c r="C8">
        <f>$C$4*(1-B8)</f>
        <v/>
      </c>
      <c r="D8">
        <f>INT(C8)+0.98</f>
        <v/>
      </c>
      <c r="E8" s="26">
        <f>$E$4</f>
        <v/>
      </c>
      <c r="F8" s="22">
        <f>$F$4</f>
        <v/>
      </c>
      <c r="G8" s="26">
        <f>D8*$D$1</f>
        <v/>
      </c>
      <c r="H8" s="26">
        <f>$H$4</f>
        <v/>
      </c>
      <c r="I8" s="26">
        <f>((D8+J8)*$D$1)*$I$1</f>
        <v/>
      </c>
      <c r="J8">
        <f>_xlfn.IFS(D8&gt;=800,260,D8&gt;=600,210,D8&gt;=500,155,D8&gt;=400,130,D8&gt;=300,105,D8&gt;=200,75,D8&gt;=100,50,D8&gt;=60,30,D8&gt;=40,20,D8&lt;40,15)</f>
        <v/>
      </c>
      <c r="K8" s="13">
        <f>$S$1</f>
        <v/>
      </c>
      <c r="L8" s="27">
        <f>G8-H8-I8-E8-N8-P8+F8</f>
        <v/>
      </c>
      <c r="M8" s="13">
        <f>L8/G8</f>
        <v/>
      </c>
      <c r="N8" s="26">
        <f>(D8+J8)*K8*$D$1</f>
        <v/>
      </c>
      <c r="P8" s="26">
        <f>G8*$U$1</f>
        <v/>
      </c>
    </row>
    <row r="11">
      <c r="A11">
        <f>D11+J11</f>
        <v/>
      </c>
      <c r="B11" s="7" t="inlineStr">
        <is>
          <t>オファー価格</t>
        </is>
      </c>
      <c r="C11">
        <f>J18</f>
        <v/>
      </c>
      <c r="D11">
        <f>INT(C11)+0.98</f>
        <v/>
      </c>
      <c r="E11" s="26">
        <f>$E$4</f>
        <v/>
      </c>
      <c r="F11">
        <f>$F$4</f>
        <v/>
      </c>
      <c r="G11" s="26">
        <f>D11*$D$1</f>
        <v/>
      </c>
      <c r="H11" s="26">
        <f>$H$4</f>
        <v/>
      </c>
      <c r="I11" s="26">
        <f>((D11+J11)*$D$1)*$I$1</f>
        <v/>
      </c>
      <c r="J11">
        <f>_xlfn.IFS(D11&gt;=800,260,D11&gt;=600,210,D11&gt;=500,155,D11&gt;=400,130,D11&gt;=300,105,D11&gt;=200,75,D11&gt;=100,50,D11&gt;=60,30,D11&gt;=40,20,D11&lt;40,15)</f>
        <v/>
      </c>
      <c r="K11" s="13">
        <f>$S$1</f>
        <v/>
      </c>
      <c r="L11" s="26">
        <f>G11-H11-I11-E11-N11-P11+F11</f>
        <v/>
      </c>
      <c r="M11" s="13">
        <f>L11/G11</f>
        <v/>
      </c>
      <c r="N11" s="26">
        <f>(D11+J11)*K11*$D$1</f>
        <v/>
      </c>
      <c r="P11" s="26">
        <f>G11*$U$1</f>
        <v/>
      </c>
    </row>
    <row r="12">
      <c r="A12">
        <f>D12+J12</f>
        <v/>
      </c>
      <c r="B12" t="inlineStr">
        <is>
          <t>試算用</t>
        </is>
      </c>
      <c r="C12" s="9" t="n">
        <v>240</v>
      </c>
      <c r="D12">
        <f>INT(C12)+0.98</f>
        <v/>
      </c>
      <c r="E12" s="26">
        <f>$E$4</f>
        <v/>
      </c>
      <c r="F12">
        <f>$F$4</f>
        <v/>
      </c>
      <c r="G12" s="26">
        <f>D12*$D$1</f>
        <v/>
      </c>
      <c r="H12" s="26">
        <f>$H$4</f>
        <v/>
      </c>
      <c r="I12" s="26">
        <f>((D12+J12)*$D$1)*$I$1</f>
        <v/>
      </c>
      <c r="J12">
        <f>_xlfn.IFS(D12&gt;=800,260,D12&gt;=600,210,D12&gt;=500,155,D12&gt;=400,130,D12&gt;=300,105,D12&gt;=200,75,D12&gt;=100,50,D12&gt;=60,30,D12&gt;=40,20,D12&lt;40,15)</f>
        <v/>
      </c>
      <c r="K12" s="13">
        <f>$S$1</f>
        <v/>
      </c>
      <c r="L12" s="26">
        <f>G12-H12-I12-E12-N12-P12+F12</f>
        <v/>
      </c>
      <c r="M12" s="13">
        <f>L12/G12</f>
        <v/>
      </c>
      <c r="N12" s="26">
        <f>(D12+J12)*K12*$D$1</f>
        <v/>
      </c>
      <c r="P12" s="26">
        <f>G12*$U$1</f>
        <v/>
      </c>
    </row>
    <row r="15">
      <c r="C15" s="1" t="inlineStr">
        <is>
          <t>■ カテゴリ別参考価格 (/140 参考レート基準)</t>
        </is>
      </c>
    </row>
    <row r="16">
      <c r="D16" s="18" t="inlineStr">
        <is>
          <t>手数料</t>
        </is>
      </c>
      <c r="E16" s="18" t="inlineStr">
        <is>
          <t>実送料</t>
        </is>
      </c>
      <c r="H16" s="18" t="inlineStr">
        <is>
          <t>仕入</t>
        </is>
      </c>
      <c r="I16" s="18" t="inlineStr">
        <is>
          <t>SS</t>
        </is>
      </c>
      <c r="J16" s="18" t="inlineStr">
        <is>
          <t>A</t>
        </is>
      </c>
      <c r="K16" s="18" t="inlineStr">
        <is>
          <t>B</t>
        </is>
      </c>
      <c r="L16" s="18" t="inlineStr">
        <is>
          <t>C</t>
        </is>
      </c>
      <c r="M16" s="18" t="inlineStr">
        <is>
          <t>D</t>
        </is>
      </c>
      <c r="N16" s="18" t="inlineStr">
        <is>
          <t>E</t>
        </is>
      </c>
      <c r="O16" s="18" t="inlineStr">
        <is>
          <t>E2</t>
        </is>
      </c>
    </row>
    <row r="17">
      <c r="C17" t="inlineStr">
        <is>
          <t>TCG(PSA10)</t>
        </is>
      </c>
      <c r="D17" s="13" t="n">
        <v>0.1325</v>
      </c>
      <c r="E17" s="26" t="n">
        <v>2000</v>
      </c>
      <c r="H17" s="26">
        <f>E4</f>
        <v/>
      </c>
      <c r="I17">
        <f>ROUNDDOWN(((H17+E17+5000)/(1-(D17+0.02+$K$1)-$S$1-$U$1))/140,0)+0.98</f>
        <v/>
      </c>
      <c r="J17">
        <f>ROUNDDOWN(((H17+E17+4000)/(1-(D17+0.02+$K$1)-$S$1-$U$1))/140,0)+0.98</f>
        <v/>
      </c>
      <c r="K17">
        <f>ROUNDDOWN(((H17+E17+3000)/(1-(D17+0.02+$K$1)-$S$1-$U$1))/140,0)+0.98</f>
        <v/>
      </c>
      <c r="L17">
        <f>ROUNDDOWN(((H17+E17+2000)/(1-(D17+0.02+$K$1)-$S$1-$U$1))/140,0)+0.98</f>
        <v/>
      </c>
      <c r="M17">
        <f>ROUNDDOWN(((H17+E17+1000)/(1-(D17+0.02+$K$1)-$S$1-$U$1))/140,0)+0.98</f>
        <v/>
      </c>
      <c r="N17">
        <f>ROUNDDOWN(((H17+E17+500)/(1-(D17+0.02+$K$1)-$S$1-$U$1))/140,0)+0.98</f>
        <v/>
      </c>
      <c r="O17">
        <f>ROUNDDOWN(((H17+E17+0)/(1-(D17+0.02+$K$1)-$S$1-$U$1))/140,0)+0.98</f>
        <v/>
      </c>
    </row>
    <row r="18">
      <c r="C18" t="inlineStr">
        <is>
          <t>Tシャツ/Montbell一般</t>
        </is>
      </c>
      <c r="D18" s="13" t="n">
        <v>0.153</v>
      </c>
      <c r="E18" s="26" t="n">
        <v>2000</v>
      </c>
      <c r="H18" s="26">
        <f>E4</f>
        <v/>
      </c>
      <c r="I18">
        <f>ROUNDDOWN(((H18+E18+5000)/(1-(D18+0.02+$K$1)-$S$1-$U$1))/140,0)+0.98</f>
        <v/>
      </c>
      <c r="J18">
        <f>ROUNDDOWN(((H18+E18+4000)/(1-(D18+0.02+$K$1)-$S$1-$U$1))/140,0)+0.98</f>
        <v/>
      </c>
      <c r="K18">
        <f>ROUNDDOWN(((H18+E18+3000)/(1-(D18+0.02+$K$1)-$S$1-$U$1))/140,0)+0.98</f>
        <v/>
      </c>
      <c r="L18">
        <f>ROUNDDOWN(((H18+E18+2000)/(1-(D18+0.02+$K$1)-$S$1-$U$1))/140,0)+0.98</f>
        <v/>
      </c>
      <c r="M18">
        <f>ROUNDDOWN(((H18+E18+1000)/(1-(D18+0.02+$K$1)-$S$1-$U$1))/140,0)+0.98</f>
        <v/>
      </c>
      <c r="N18">
        <f>ROUNDDOWN(((H18+E18+500)/(1-(D18+0.02+$K$1)-$S$1-$U$1))/140,0)+0.98</f>
        <v/>
      </c>
      <c r="O18">
        <f>ROUNDDOWN(((H18+E18+0)/(1-(D18+0.02+$K$1)-$S$1-$U$1))/140,0)+0.98</f>
        <v/>
      </c>
    </row>
    <row r="19">
      <c r="C19" t="inlineStr">
        <is>
          <t>フィギュア</t>
        </is>
      </c>
      <c r="D19" s="13" t="n">
        <v>0.1325</v>
      </c>
      <c r="E19" s="26" t="n">
        <v>3500</v>
      </c>
      <c r="H19" s="26">
        <f>E4</f>
        <v/>
      </c>
      <c r="I19">
        <f>ROUNDDOWN(((H19+E19+5000)/(1-(D19+0.02+$K$1)-$S$1-$U$1))/140,0)+0.98</f>
        <v/>
      </c>
      <c r="J19">
        <f>ROUNDDOWN(((H19+E19+4000)/(1-(D19+0.02+$K$1)-$S$1-$U$1))/140,0)+0.98</f>
        <v/>
      </c>
      <c r="K19">
        <f>ROUNDDOWN(((H19+E19+3000)/(1-(D19+0.02+$K$1)-$S$1-$U$1))/140,0)+0.98</f>
        <v/>
      </c>
      <c r="L19">
        <f>ROUNDDOWN(((H19+E19+2000)/(1-(D19+0.02+$K$1)-$S$1-$U$1))/140,0)+0.98</f>
        <v/>
      </c>
      <c r="M19">
        <f>ROUNDDOWN(((H19+E19+1000)/(1-(D19+0.02+$K$1)-$S$1-$U$1))/140,0)+0.98</f>
        <v/>
      </c>
      <c r="N19">
        <f>ROUNDDOWN(((H19+E19+500)/(1-(D19+0.02+$K$1)-$S$1-$U$1))/140,0)+0.98</f>
        <v/>
      </c>
      <c r="O19">
        <f>ROUNDDOWN(((H19+E19+0)/(1-(D19+0.02+$K$1)-$S$1-$U$1))/140,0)+0.98</f>
        <v/>
      </c>
    </row>
    <row r="20">
      <c r="C20" t="inlineStr">
        <is>
          <t>G-SHOCK</t>
        </is>
      </c>
      <c r="D20" s="13" t="n">
        <v>0.1325</v>
      </c>
      <c r="E20" s="26" t="n">
        <v>2000</v>
      </c>
      <c r="H20" s="26">
        <f>E4</f>
        <v/>
      </c>
      <c r="I20">
        <f>ROUNDDOWN(((H20+E20+5000)/(1-(D20+0.02+$K$1)-$S$1-$U$1))/140,0)+0.98</f>
        <v/>
      </c>
      <c r="J20">
        <f>ROUNDDOWN(((H20+E20+4000)/(1-(D20+0.02+$K$1)-$S$1-$U$1))/140,0)+0.98</f>
        <v/>
      </c>
      <c r="K20">
        <f>ROUNDDOWN(((H20+E20+3000)/(1-(D20+0.02+$K$1)-$S$1-$U$1))/140,0)+0.98</f>
        <v/>
      </c>
      <c r="L20">
        <f>ROUNDDOWN(((H20+E20+2000)/(1-(D20+0.02+$K$1)-$S$1-$U$1))/140,0)+0.98</f>
        <v/>
      </c>
      <c r="M20">
        <f>ROUNDDOWN(((H20+E20+1000)/(1-(D20+0.02+$K$1)-$S$1-$U$1))/140,0)+0.98</f>
        <v/>
      </c>
      <c r="N20">
        <f>ROUNDDOWN(((H20+E20+500)/(1-(D20+0.02+$K$1)-$S$1-$U$1))/140,0)+0.98</f>
        <v/>
      </c>
      <c r="O20">
        <f>ROUNDDOWN(((H20+E20+0)/(1-(D20+0.02+$K$1)-$S$1-$U$1))/140,0)+0.98</f>
        <v/>
      </c>
    </row>
    <row r="21">
      <c r="C21" t="inlineStr">
        <is>
          <t>Montbell(ジャケット)</t>
        </is>
      </c>
      <c r="D21" s="13" t="n">
        <v>0.153</v>
      </c>
      <c r="E21" s="26" t="n">
        <v>4500</v>
      </c>
      <c r="H21" s="26">
        <f>E4</f>
        <v/>
      </c>
      <c r="I21">
        <f>ROUNDDOWN(((H21+E21+5000)/(1-(D21+0.02+$K$1)-$S$1-$U$1))/140,0)+0.98</f>
        <v/>
      </c>
      <c r="J21">
        <f>ROUNDDOWN(((H21+E21+4000)/(1-(D21+0.02+$K$1)-$S$1-$U$1))/140,0)+0.98</f>
        <v/>
      </c>
      <c r="K21">
        <f>ROUNDDOWN(((H21+E21+3000)/(1-(D21+0.02+$K$1)-$S$1-$U$1))/140,0)+0.98</f>
        <v/>
      </c>
      <c r="L21">
        <f>ROUNDDOWN(((H21+E21+2000)/(1-(D21+0.02+$K$1)-$S$1-$U$1))/140,0)+0.98</f>
        <v/>
      </c>
      <c r="M21">
        <f>ROUNDDOWN(((H21+E21+1000)/(1-(D21+0.02+$K$1)-$S$1-$U$1))/140,0)+0.98</f>
        <v/>
      </c>
      <c r="N21">
        <f>ROUNDDOWN(((H21+E21+500)/(1-(D21+0.02+$K$1)-$S$1-$U$1))/140,0)+0.98</f>
        <v/>
      </c>
      <c r="O21">
        <f>ROUNDDOWN(((H21+E21+0)/(1-(D21+0.02+$K$1)-$S$1-$U$1))/140,0)+0.98</f>
        <v/>
      </c>
    </row>
    <row r="23">
      <c r="C23" s="10" t="inlineStr">
        <is>
          <t>※ /140 は意図的な参考レート (C4で手動調整する運用)</t>
        </is>
      </c>
    </row>
    <row r="24">
      <c r="C24" s="10" t="inlineStr">
        <is>
          <t>※ net_ratio = 1 - 手数料 - プロモ - Payo で国別自動補正済</t>
        </is>
      </c>
    </row>
  </sheetData>
  <dataValidations count="1">
    <dataValidation sqref="F1" showDropDown="0" showInputMessage="0" showErrorMessage="0" allowBlank="0" type="list">
      <formula1>設定!$A$17:$A$32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2" topLeftCell="A3" activePane="bottomLeft" state="frozen"/>
      <selection activeCell="A1" sqref="A1"/>
      <selection pane="bottomLeft" activeCell="A1" sqref="A1"/>
    </sheetView>
  </sheetViews>
  <sheetFormatPr baseColWidth="8" defaultColWidth="9" defaultRowHeight="13.2"/>
  <cols>
    <col width="11" customWidth="1" min="1" max="1"/>
    <col width="13" customWidth="1" min="2" max="2"/>
    <col width="11" customWidth="1" min="3" max="3"/>
    <col width="13" customWidth="1" min="4" max="5"/>
    <col width="12" customWidth="1" min="6" max="7"/>
    <col width="11" customWidth="1" min="8" max="8"/>
    <col width="14" customWidth="1" min="9" max="9"/>
    <col width="11" customWidth="1" min="10" max="10"/>
    <col width="10" customWidth="1" min="11" max="11"/>
    <col width="14" customWidth="1" min="12" max="12"/>
    <col width="10" customWidth="1" min="13" max="13"/>
    <col width="14" customWidth="1" min="14" max="16"/>
    <col width="10" customWidth="1" min="17" max="17"/>
    <col width="11" customWidth="1" min="18" max="18"/>
    <col width="10" customWidth="1" min="19" max="19"/>
    <col width="11" customWidth="1" min="20" max="20"/>
    <col width="10" customWidth="1" min="21" max="21"/>
  </cols>
  <sheetData>
    <row r="1">
      <c r="A1" s="7" t="inlineStr">
        <is>
          <t>国</t>
        </is>
      </c>
      <c r="B1" t="inlineStr">
        <is>
          <t>UK</t>
        </is>
      </c>
      <c r="C1" s="7" t="inlineStr">
        <is>
          <t>為替</t>
        </is>
      </c>
      <c r="D1" s="25">
        <f>設定!$B$2</f>
        <v/>
      </c>
      <c r="E1" s="7" t="inlineStr">
        <is>
          <t>カテゴリ</t>
        </is>
      </c>
      <c r="F1" s="17" t="inlineStr">
        <is>
          <t>TCG(PSA10)</t>
        </is>
      </c>
      <c r="H1" s="7" t="inlineStr">
        <is>
          <t>手数料率</t>
        </is>
      </c>
      <c r="I1" s="13">
        <f>VLOOKUP(F1,設定!$A$17:$B$32,2,FALSE)+0.02+K1</f>
        <v/>
      </c>
      <c r="J1" s="7" t="inlineStr">
        <is>
          <t>国別補正</t>
        </is>
      </c>
      <c r="K1" s="19" t="n">
        <v>0.05</v>
      </c>
      <c r="R1" s="7" t="inlineStr">
        <is>
          <t>プロモ</t>
        </is>
      </c>
      <c r="S1" s="13">
        <f>設定!$B$3</f>
        <v/>
      </c>
      <c r="T1" s="7" t="inlineStr">
        <is>
          <t>Payo</t>
        </is>
      </c>
      <c r="U1" s="13">
        <f>設定!$B$4</f>
        <v/>
      </c>
    </row>
    <row r="2">
      <c r="A2" s="18" t="inlineStr">
        <is>
          <t>送料込み</t>
        </is>
      </c>
      <c r="B2" s="18" t="inlineStr">
        <is>
          <t>割引率</t>
        </is>
      </c>
      <c r="D2" s="18">
        <f>設定!$H$2</f>
        <v/>
      </c>
      <c r="E2" s="18" t="inlineStr">
        <is>
          <t>仕入(¥)</t>
        </is>
      </c>
      <c r="F2" s="18" t="inlineStr">
        <is>
          <t>ポイント還元</t>
        </is>
      </c>
      <c r="G2" s="18" t="inlineStr">
        <is>
          <t>売上(¥)</t>
        </is>
      </c>
      <c r="H2" s="18" t="inlineStr">
        <is>
          <t>実送料(¥)</t>
        </is>
      </c>
      <c r="I2" s="18" t="inlineStr">
        <is>
          <t>eBay手数料(¥)</t>
        </is>
      </c>
      <c r="J2" s="18" t="inlineStr">
        <is>
          <t>DDP送料($)</t>
        </is>
      </c>
      <c r="K2" s="18" t="inlineStr">
        <is>
          <t>プロモ率</t>
        </is>
      </c>
      <c r="L2" s="18" t="inlineStr">
        <is>
          <t>利益(¥)</t>
        </is>
      </c>
      <c r="M2" s="18" t="inlineStr">
        <is>
          <t>利益率</t>
        </is>
      </c>
      <c r="N2" s="18" t="inlineStr">
        <is>
          <t>プロモ費(¥)</t>
        </is>
      </c>
      <c r="P2" s="18" t="inlineStr">
        <is>
          <t>Payo費(¥)</t>
        </is>
      </c>
    </row>
    <row r="3">
      <c r="A3">
        <f>D3+J3</f>
        <v/>
      </c>
      <c r="B3" s="7" t="inlineStr">
        <is>
          <t>推奨</t>
        </is>
      </c>
      <c r="C3">
        <f>J18</f>
        <v/>
      </c>
      <c r="D3">
        <f>INT(C3)+0.98</f>
        <v/>
      </c>
      <c r="E3" s="26">
        <f>$E$4</f>
        <v/>
      </c>
      <c r="F3">
        <f>$F$4</f>
        <v/>
      </c>
      <c r="G3" s="26">
        <f>D3*$D$1</f>
        <v/>
      </c>
      <c r="H3" s="26">
        <f>$H$4</f>
        <v/>
      </c>
      <c r="I3" s="26">
        <f>((D3+J3)*$D$1)*$I$1</f>
        <v/>
      </c>
      <c r="J3">
        <f>_xlfn.IFS(D3&gt;=800,260,D3&gt;=600,210,D3&gt;=500,155,D3&gt;=400,130,D3&gt;=300,105,D3&gt;=200,75,D3&gt;=100,50,D3&gt;=60,30,D3&gt;=40,20,D3&lt;40,15)</f>
        <v/>
      </c>
      <c r="K3" s="13">
        <f>$S$1</f>
        <v/>
      </c>
      <c r="L3" s="26">
        <f>G3-H3-I3-E3-N3-P3+F3</f>
        <v/>
      </c>
      <c r="M3" s="13">
        <f>L3/G3</f>
        <v/>
      </c>
      <c r="N3" s="26">
        <f>(D3+J3)*K3*$D$1</f>
        <v/>
      </c>
      <c r="P3" s="26">
        <f>G3*$U$1</f>
        <v/>
      </c>
    </row>
    <row r="4">
      <c r="A4">
        <f>D4+J4</f>
        <v/>
      </c>
      <c r="B4" s="17" t="inlineStr">
        <is>
          <t>出品中</t>
        </is>
      </c>
      <c r="C4" s="9" t="n">
        <v>432</v>
      </c>
      <c r="D4">
        <f>INT(C4)+0.98</f>
        <v/>
      </c>
      <c r="E4" s="28" t="n">
        <v>37000</v>
      </c>
      <c r="F4" t="n">
        <v>0</v>
      </c>
      <c r="G4" s="26">
        <f>D4*$D$1</f>
        <v/>
      </c>
      <c r="H4" s="28" t="n">
        <v>2000</v>
      </c>
      <c r="I4" s="26">
        <f>D4*$D$2*$I$2</f>
        <v/>
      </c>
      <c r="J4" t="n">
        <v>0</v>
      </c>
      <c r="K4" s="13">
        <f>$S$1</f>
        <v/>
      </c>
      <c r="L4" s="26">
        <f>G4-H4-I4-E4-N4-P4+F4</f>
        <v/>
      </c>
      <c r="M4" s="13">
        <f>L4/G4</f>
        <v/>
      </c>
      <c r="N4" s="26">
        <f>D4*K4*$D$2</f>
        <v/>
      </c>
      <c r="P4" s="26">
        <f>G4*$U$1</f>
        <v/>
      </c>
    </row>
    <row r="5">
      <c r="A5">
        <f>D5+J5</f>
        <v/>
      </c>
      <c r="B5" s="13" t="n">
        <v>0.05</v>
      </c>
      <c r="C5">
        <f>$C$4*(1-B5)</f>
        <v/>
      </c>
      <c r="D5">
        <f>INT(C5)+0.98</f>
        <v/>
      </c>
      <c r="E5" s="26">
        <f>$E$4</f>
        <v/>
      </c>
      <c r="F5">
        <f>$F$4</f>
        <v/>
      </c>
      <c r="G5" s="26">
        <f>D5*$D$1</f>
        <v/>
      </c>
      <c r="H5" s="26">
        <f>$H$4</f>
        <v/>
      </c>
      <c r="I5" s="26">
        <f>D5*$D$2*$I$2</f>
        <v/>
      </c>
      <c r="J5" t="n">
        <v>0</v>
      </c>
      <c r="K5" s="13">
        <f>$S$1</f>
        <v/>
      </c>
      <c r="L5" s="26">
        <f>G5-H5-I5-E5-N5-P5+F5</f>
        <v/>
      </c>
      <c r="M5" s="13">
        <f>L5/G5</f>
        <v/>
      </c>
      <c r="N5" s="26">
        <f>D5*K5*$D$2</f>
        <v/>
      </c>
      <c r="P5" s="26">
        <f>G5*$U$1</f>
        <v/>
      </c>
    </row>
    <row r="6">
      <c r="A6">
        <f>D6+J6</f>
        <v/>
      </c>
      <c r="B6" s="13" t="n">
        <v>0.08</v>
      </c>
      <c r="C6">
        <f>$C$4*(1-B6)</f>
        <v/>
      </c>
      <c r="D6">
        <f>INT(C6)+0.98</f>
        <v/>
      </c>
      <c r="E6" s="26">
        <f>$E$4</f>
        <v/>
      </c>
      <c r="F6">
        <f>$F$4</f>
        <v/>
      </c>
      <c r="G6" s="26">
        <f>D6*$D$1</f>
        <v/>
      </c>
      <c r="H6" s="26">
        <f>$H$4</f>
        <v/>
      </c>
      <c r="I6" s="26">
        <f>D6*$D$2*$I$2</f>
        <v/>
      </c>
      <c r="J6" t="n">
        <v>0</v>
      </c>
      <c r="K6" s="13">
        <f>$S$1</f>
        <v/>
      </c>
      <c r="L6" s="26">
        <f>G6-H6-I6-E6-N6-P6+F6</f>
        <v/>
      </c>
      <c r="M6" s="13">
        <f>L6/G6</f>
        <v/>
      </c>
      <c r="N6" s="26">
        <f>D6*K6*$D$2</f>
        <v/>
      </c>
      <c r="P6" s="26">
        <f>G6*$U$1</f>
        <v/>
      </c>
    </row>
    <row r="7">
      <c r="A7">
        <f>D7+J7</f>
        <v/>
      </c>
      <c r="B7" s="13" t="n">
        <v>0.1</v>
      </c>
      <c r="C7">
        <f>$C$4*(1-B7)</f>
        <v/>
      </c>
      <c r="D7">
        <f>INT(C7)+0.98</f>
        <v/>
      </c>
      <c r="E7" s="26">
        <f>$E$4</f>
        <v/>
      </c>
      <c r="F7">
        <f>$F$4</f>
        <v/>
      </c>
      <c r="G7" s="26">
        <f>D7*$D$1</f>
        <v/>
      </c>
      <c r="H7" s="26">
        <f>$H$4</f>
        <v/>
      </c>
      <c r="I7" s="26">
        <f>D7*$D$2*$I$2</f>
        <v/>
      </c>
      <c r="J7" t="n">
        <v>0</v>
      </c>
      <c r="K7" s="13">
        <f>$S$1</f>
        <v/>
      </c>
      <c r="L7" s="26">
        <f>G7-H7-I7-E7-N7-P7+F7</f>
        <v/>
      </c>
      <c r="M7" s="13">
        <f>L7/G7</f>
        <v/>
      </c>
      <c r="N7" s="26">
        <f>D7*K7*$D$2</f>
        <v/>
      </c>
      <c r="P7" s="26">
        <f>G7*$U$1</f>
        <v/>
      </c>
    </row>
    <row r="8">
      <c r="A8">
        <f>D8+J8</f>
        <v/>
      </c>
      <c r="B8" s="13" t="n">
        <v>0.15</v>
      </c>
      <c r="C8">
        <f>$C$4*(1-B8)</f>
        <v/>
      </c>
      <c r="D8">
        <f>INT(C8)+0.98</f>
        <v/>
      </c>
      <c r="E8" s="26">
        <f>$E$4</f>
        <v/>
      </c>
      <c r="F8">
        <f>$F$4</f>
        <v/>
      </c>
      <c r="G8" s="26">
        <f>D8*$D$1</f>
        <v/>
      </c>
      <c r="H8" s="26">
        <f>$H$4</f>
        <v/>
      </c>
      <c r="I8" s="26">
        <f>D8*$D$2*$I$2</f>
        <v/>
      </c>
      <c r="J8" t="n">
        <v>0</v>
      </c>
      <c r="K8" s="13">
        <f>$S$1</f>
        <v/>
      </c>
      <c r="L8" s="26">
        <f>G8-H8-I8-E8-N8-P8+F8</f>
        <v/>
      </c>
      <c r="M8" s="13">
        <f>L8/G8</f>
        <v/>
      </c>
      <c r="N8" s="26">
        <f>D8*K8*$D$2</f>
        <v/>
      </c>
      <c r="P8" s="26">
        <f>G8*$U$1</f>
        <v/>
      </c>
    </row>
    <row r="9">
      <c r="I9">
        <f>D9*$D$2*$I$2</f>
        <v/>
      </c>
      <c r="J9" t="n">
        <v>0</v>
      </c>
      <c r="N9">
        <f>D9*K9*$D$2</f>
        <v/>
      </c>
    </row>
    <row r="11">
      <c r="A11">
        <f>D11+J11</f>
        <v/>
      </c>
      <c r="B11" s="7" t="inlineStr">
        <is>
          <t>オファー価格</t>
        </is>
      </c>
      <c r="C11">
        <f>J18</f>
        <v/>
      </c>
      <c r="D11">
        <f>INT(C11)+0.98</f>
        <v/>
      </c>
      <c r="E11" s="26">
        <f>$E$4</f>
        <v/>
      </c>
      <c r="F11">
        <f>$F$4</f>
        <v/>
      </c>
      <c r="G11" s="26">
        <f>D11*$D$1</f>
        <v/>
      </c>
      <c r="H11" s="26">
        <f>$H$4</f>
        <v/>
      </c>
      <c r="I11" s="26">
        <f>((D11+J11)*$D$1)*$I$1</f>
        <v/>
      </c>
      <c r="J11">
        <f>_xlfn.IFS(D11&gt;=800,260,D11&gt;=600,210,D11&gt;=500,155,D11&gt;=400,130,D11&gt;=300,105,D11&gt;=200,75,D11&gt;=100,50,D11&gt;=60,30,D11&gt;=40,20,D11&lt;40,15)</f>
        <v/>
      </c>
      <c r="K11" s="13">
        <f>$S$1</f>
        <v/>
      </c>
      <c r="L11" s="26">
        <f>G11-H11-I11-E11-N11-P11+F11</f>
        <v/>
      </c>
      <c r="M11" s="13">
        <f>L11/G11</f>
        <v/>
      </c>
      <c r="N11" s="26">
        <f>(D11+J11)*K11*$D$1</f>
        <v/>
      </c>
      <c r="P11" s="26">
        <f>G11*$U$1</f>
        <v/>
      </c>
    </row>
    <row r="12">
      <c r="A12">
        <f>D12+J12</f>
        <v/>
      </c>
      <c r="B12" t="inlineStr">
        <is>
          <t>試算用</t>
        </is>
      </c>
      <c r="C12" s="9" t="n">
        <v>240</v>
      </c>
      <c r="D12">
        <f>INT(C12)+0.98</f>
        <v/>
      </c>
      <c r="E12" s="26">
        <f>$E$4</f>
        <v/>
      </c>
      <c r="F12">
        <f>$F$4</f>
        <v/>
      </c>
      <c r="G12" s="26">
        <f>D12*$D$1</f>
        <v/>
      </c>
      <c r="H12" s="26">
        <f>$H$4</f>
        <v/>
      </c>
      <c r="I12" s="26">
        <f>D12*$D$2*$I$2</f>
        <v/>
      </c>
      <c r="J12" t="n">
        <v>0</v>
      </c>
      <c r="K12" s="13">
        <f>$S$1</f>
        <v/>
      </c>
      <c r="L12" s="26">
        <f>G12-H12-I12-E12-N12-P12+F12</f>
        <v/>
      </c>
      <c r="M12" s="13">
        <f>L12/G12</f>
        <v/>
      </c>
      <c r="N12" s="26">
        <f>D12*K12*$D$2</f>
        <v/>
      </c>
      <c r="P12" s="26">
        <f>G12*$U$1</f>
        <v/>
      </c>
    </row>
    <row r="13">
      <c r="I13">
        <f>D13*$D$2*$I$2</f>
        <v/>
      </c>
      <c r="J13" t="n">
        <v>0</v>
      </c>
      <c r="N13">
        <f>D13*K13*$D$2</f>
        <v/>
      </c>
    </row>
    <row r="15">
      <c r="C15" s="1" t="inlineStr">
        <is>
          <t>■ カテゴリ別参考価格 (/140 参考レート基準)</t>
        </is>
      </c>
    </row>
    <row r="16">
      <c r="D16" s="18" t="inlineStr">
        <is>
          <t>手数料</t>
        </is>
      </c>
      <c r="E16" s="18" t="inlineStr">
        <is>
          <t>実送料</t>
        </is>
      </c>
      <c r="H16" s="18" t="inlineStr">
        <is>
          <t>仕入</t>
        </is>
      </c>
      <c r="I16" s="18" t="inlineStr">
        <is>
          <t>SS</t>
        </is>
      </c>
      <c r="J16" s="18" t="inlineStr">
        <is>
          <t>A</t>
        </is>
      </c>
      <c r="K16" s="18" t="inlineStr">
        <is>
          <t>B</t>
        </is>
      </c>
      <c r="L16" s="18" t="inlineStr">
        <is>
          <t>C</t>
        </is>
      </c>
      <c r="M16" s="18" t="inlineStr">
        <is>
          <t>D</t>
        </is>
      </c>
      <c r="N16" s="18" t="inlineStr">
        <is>
          <t>E</t>
        </is>
      </c>
      <c r="O16" s="18" t="inlineStr">
        <is>
          <t>E2</t>
        </is>
      </c>
    </row>
    <row r="17">
      <c r="C17" t="inlineStr">
        <is>
          <t>TCG(PSA10)</t>
        </is>
      </c>
      <c r="D17" s="13" t="n">
        <v>0.1325</v>
      </c>
      <c r="E17" s="26" t="n">
        <v>2000</v>
      </c>
      <c r="H17" s="26">
        <f>E4</f>
        <v/>
      </c>
      <c r="I17">
        <f>ROUNDDOWN(((H17+E17+5000)/(1-(D17+0.02+$K$1)-$S$1-$U$1))/140,0)+0.98</f>
        <v/>
      </c>
      <c r="J17">
        <f>ROUNDDOWN(((H17+E17+4000)/(1-(D17+0.02+$K$1)-$S$1-$U$1))/140,0)+0.98</f>
        <v/>
      </c>
      <c r="K17">
        <f>ROUNDDOWN(((H17+E17+3000)/(1-(D17+0.02+$K$1)-$S$1-$U$1))/140,0)+0.98</f>
        <v/>
      </c>
      <c r="L17">
        <f>ROUNDDOWN(((H17+E17+2000)/(1-(D17+0.02+$K$1)-$S$1-$U$1))/140,0)+0.98</f>
        <v/>
      </c>
      <c r="M17">
        <f>ROUNDDOWN(((H17+E17+1000)/(1-(D17+0.02+$K$1)-$S$1-$U$1))/140,0)+0.98</f>
        <v/>
      </c>
      <c r="N17">
        <f>ROUNDDOWN(((H17+E17+500)/(1-(D17+0.02+$K$1)-$S$1-$U$1))/140,0)+0.98</f>
        <v/>
      </c>
      <c r="O17">
        <f>ROUNDDOWN(((H17+E17+0)/(1-(D17+0.02+$K$1)-$S$1-$U$1))/140,0)+0.98</f>
        <v/>
      </c>
    </row>
    <row r="18">
      <c r="C18" t="inlineStr">
        <is>
          <t>Tシャツ/Montbell一般</t>
        </is>
      </c>
      <c r="D18" s="13" t="n">
        <v>0.153</v>
      </c>
      <c r="E18" s="26" t="n">
        <v>2000</v>
      </c>
      <c r="H18" s="26">
        <f>E4</f>
        <v/>
      </c>
      <c r="I18">
        <f>ROUNDDOWN(((H18+E18+5000)/(1-(D18+0.02+$K$1)-$S$1-$U$1))/140,0)+0.98</f>
        <v/>
      </c>
      <c r="J18">
        <f>ROUNDDOWN(((H18+E18+4000)/(1-(D18+0.02+$K$1)-$S$1-$U$1))/140,0)+0.98</f>
        <v/>
      </c>
      <c r="K18">
        <f>ROUNDDOWN(((H18+E18+3000)/(1-(D18+0.02+$K$1)-$S$1-$U$1))/140,0)+0.98</f>
        <v/>
      </c>
      <c r="L18">
        <f>ROUNDDOWN(((H18+E18+2000)/(1-(D18+0.02+$K$1)-$S$1-$U$1))/140,0)+0.98</f>
        <v/>
      </c>
      <c r="M18">
        <f>ROUNDDOWN(((H18+E18+1000)/(1-(D18+0.02+$K$1)-$S$1-$U$1))/140,0)+0.98</f>
        <v/>
      </c>
      <c r="N18">
        <f>ROUNDDOWN(((H18+E18+500)/(1-(D18+0.02+$K$1)-$S$1-$U$1))/140,0)+0.98</f>
        <v/>
      </c>
      <c r="O18">
        <f>ROUNDDOWN(((H18+E18+0)/(1-(D18+0.02+$K$1)-$S$1-$U$1))/140,0)+0.98</f>
        <v/>
      </c>
    </row>
    <row r="19">
      <c r="C19" t="inlineStr">
        <is>
          <t>フィギュア</t>
        </is>
      </c>
      <c r="D19" s="13" t="n">
        <v>0.1325</v>
      </c>
      <c r="E19" s="26" t="n">
        <v>3500</v>
      </c>
      <c r="H19" s="26">
        <f>E4</f>
        <v/>
      </c>
      <c r="I19">
        <f>ROUNDDOWN(((H19+E19+5000)/(1-(D19+0.02+$K$1)-$S$1-$U$1))/140,0)+0.98</f>
        <v/>
      </c>
      <c r="J19">
        <f>ROUNDDOWN(((H19+E19+4000)/(1-(D19+0.02+$K$1)-$S$1-$U$1))/140,0)+0.98</f>
        <v/>
      </c>
      <c r="K19">
        <f>ROUNDDOWN(((H19+E19+3000)/(1-(D19+0.02+$K$1)-$S$1-$U$1))/140,0)+0.98</f>
        <v/>
      </c>
      <c r="L19">
        <f>ROUNDDOWN(((H19+E19+2000)/(1-(D19+0.02+$K$1)-$S$1-$U$1))/140,0)+0.98</f>
        <v/>
      </c>
      <c r="M19">
        <f>ROUNDDOWN(((H19+E19+1000)/(1-(D19+0.02+$K$1)-$S$1-$U$1))/140,0)+0.98</f>
        <v/>
      </c>
      <c r="N19">
        <f>ROUNDDOWN(((H19+E19+500)/(1-(D19+0.02+$K$1)-$S$1-$U$1))/140,0)+0.98</f>
        <v/>
      </c>
      <c r="O19">
        <f>ROUNDDOWN(((H19+E19+0)/(1-(D19+0.02+$K$1)-$S$1-$U$1))/140,0)+0.98</f>
        <v/>
      </c>
    </row>
    <row r="20">
      <c r="C20" t="inlineStr">
        <is>
          <t>G-SHOCK</t>
        </is>
      </c>
      <c r="D20" s="13" t="n">
        <v>0.1325</v>
      </c>
      <c r="E20" s="26" t="n">
        <v>2000</v>
      </c>
      <c r="H20" s="26">
        <f>E4</f>
        <v/>
      </c>
      <c r="I20">
        <f>ROUNDDOWN(((H20+E20+5000)/(1-(D20+0.02+$K$1)-$S$1-$U$1))/140,0)+0.98</f>
        <v/>
      </c>
      <c r="J20">
        <f>ROUNDDOWN(((H20+E20+4000)/(1-(D20+0.02+$K$1)-$S$1-$U$1))/140,0)+0.98</f>
        <v/>
      </c>
      <c r="K20">
        <f>ROUNDDOWN(((H20+E20+3000)/(1-(D20+0.02+$K$1)-$S$1-$U$1))/140,0)+0.98</f>
        <v/>
      </c>
      <c r="L20">
        <f>ROUNDDOWN(((H20+E20+2000)/(1-(D20+0.02+$K$1)-$S$1-$U$1))/140,0)+0.98</f>
        <v/>
      </c>
      <c r="M20">
        <f>ROUNDDOWN(((H20+E20+1000)/(1-(D20+0.02+$K$1)-$S$1-$U$1))/140,0)+0.98</f>
        <v/>
      </c>
      <c r="N20">
        <f>ROUNDDOWN(((H20+E20+500)/(1-(D20+0.02+$K$1)-$S$1-$U$1))/140,0)+0.98</f>
        <v/>
      </c>
      <c r="O20">
        <f>ROUNDDOWN(((H20+E20+0)/(1-(D20+0.02+$K$1)-$S$1-$U$1))/140,0)+0.98</f>
        <v/>
      </c>
    </row>
    <row r="21">
      <c r="C21" t="inlineStr">
        <is>
          <t>Montbell(ジャケット)</t>
        </is>
      </c>
      <c r="D21" s="13" t="n">
        <v>0.153</v>
      </c>
      <c r="E21" s="26" t="n">
        <v>4500</v>
      </c>
      <c r="H21" s="26">
        <f>E4</f>
        <v/>
      </c>
      <c r="I21">
        <f>ROUNDDOWN(((H21+E21+5000)/(1-(D21+0.02+$K$1)-$S$1-$U$1))/140,0)+0.98</f>
        <v/>
      </c>
      <c r="J21">
        <f>ROUNDDOWN(((H21+E21+4000)/(1-(D21+0.02+$K$1)-$S$1-$U$1))/140,0)+0.98</f>
        <v/>
      </c>
      <c r="K21">
        <f>ROUNDDOWN(((H21+E21+3000)/(1-(D21+0.02+$K$1)-$S$1-$U$1))/140,0)+0.98</f>
        <v/>
      </c>
      <c r="L21">
        <f>ROUNDDOWN(((H21+E21+2000)/(1-(D21+0.02+$K$1)-$S$1-$U$1))/140,0)+0.98</f>
        <v/>
      </c>
      <c r="M21">
        <f>ROUNDDOWN(((H21+E21+1000)/(1-(D21+0.02+$K$1)-$S$1-$U$1))/140,0)+0.98</f>
        <v/>
      </c>
      <c r="N21">
        <f>ROUNDDOWN(((H21+E21+500)/(1-(D21+0.02+$K$1)-$S$1-$U$1))/140,0)+0.98</f>
        <v/>
      </c>
      <c r="O21">
        <f>ROUNDDOWN(((H21+E21+0)/(1-(D21+0.02+$K$1)-$S$1-$U$1))/140,0)+0.98</f>
        <v/>
      </c>
    </row>
    <row r="23">
      <c r="C23" s="10" t="inlineStr">
        <is>
          <t>※ /140 は意図的な参考レート (C4で手動調整する運用)</t>
        </is>
      </c>
    </row>
    <row r="24">
      <c r="C24" s="10" t="inlineStr">
        <is>
          <t>※ net_ratio = 1 - 手数料 - プロモ - Payo で国別自動補正済</t>
        </is>
      </c>
    </row>
  </sheetData>
  <dataValidations count="1">
    <dataValidation sqref="F1" showDropDown="0" showInputMessage="0" showErrorMessage="0" allowBlank="0" type="list">
      <formula1>設定!$A$17:$A$32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2" topLeftCell="A3" activePane="bottomLeft" state="frozen"/>
      <selection activeCell="A1" sqref="A1"/>
      <selection pane="bottomLeft" activeCell="C4" sqref="C4"/>
    </sheetView>
  </sheetViews>
  <sheetFormatPr baseColWidth="8" defaultColWidth="9" defaultRowHeight="13.2"/>
  <cols>
    <col width="11" customWidth="1" min="1" max="1"/>
    <col width="13" customWidth="1" min="2" max="2"/>
    <col width="11" customWidth="1" min="3" max="3"/>
    <col width="13" customWidth="1" min="4" max="5"/>
    <col width="12" customWidth="1" min="6" max="7"/>
    <col width="11" customWidth="1" min="8" max="8"/>
    <col width="14" customWidth="1" min="9" max="9"/>
    <col width="11" customWidth="1" min="10" max="10"/>
    <col width="10" customWidth="1" min="11" max="11"/>
    <col width="14" customWidth="1" min="12" max="12"/>
    <col width="10" customWidth="1" min="13" max="13"/>
    <col width="14" customWidth="1" min="14" max="16"/>
    <col width="10" customWidth="1" min="17" max="17"/>
    <col width="11" customWidth="1" min="18" max="18"/>
    <col width="10" customWidth="1" min="19" max="19"/>
    <col width="11" customWidth="1" min="20" max="20"/>
    <col width="10" customWidth="1" min="21" max="21"/>
  </cols>
  <sheetData>
    <row r="1">
      <c r="A1" s="7" t="inlineStr">
        <is>
          <t>国</t>
        </is>
      </c>
      <c r="B1" t="inlineStr">
        <is>
          <t>AU</t>
        </is>
      </c>
      <c r="C1" s="7" t="inlineStr">
        <is>
          <t>為替</t>
        </is>
      </c>
      <c r="D1" s="25">
        <f>設定!$B$2</f>
        <v/>
      </c>
      <c r="E1" s="7" t="inlineStr">
        <is>
          <t>カテゴリ</t>
        </is>
      </c>
      <c r="F1" s="17" t="inlineStr">
        <is>
          <t>TCG(PSA10)</t>
        </is>
      </c>
      <c r="H1" s="7" t="inlineStr">
        <is>
          <t>手数料率</t>
        </is>
      </c>
      <c r="I1" s="13">
        <f>VLOOKUP(F1,設定!$A$17:$B$32,2,FALSE)+0.02+K1</f>
        <v/>
      </c>
      <c r="J1" s="7" t="inlineStr">
        <is>
          <t>国別補正</t>
        </is>
      </c>
      <c r="K1" s="19" t="n">
        <v>-0.02</v>
      </c>
      <c r="R1" s="7" t="inlineStr">
        <is>
          <t>プロモ</t>
        </is>
      </c>
      <c r="S1" s="13">
        <f>設定!$B$3</f>
        <v/>
      </c>
      <c r="T1" s="7" t="inlineStr">
        <is>
          <t>Payo</t>
        </is>
      </c>
      <c r="U1" s="13">
        <f>設定!$B$4</f>
        <v/>
      </c>
    </row>
    <row r="2">
      <c r="A2" s="18" t="inlineStr">
        <is>
          <t>送料込み</t>
        </is>
      </c>
      <c r="B2" s="18" t="inlineStr">
        <is>
          <t>割引率</t>
        </is>
      </c>
      <c r="D2" s="18">
        <f>設定!$J$2</f>
        <v/>
      </c>
      <c r="E2" s="18" t="inlineStr">
        <is>
          <t>仕入(¥)</t>
        </is>
      </c>
      <c r="F2" s="18" t="inlineStr">
        <is>
          <t>ポイント還元</t>
        </is>
      </c>
      <c r="G2" s="18" t="inlineStr">
        <is>
          <t>売上(¥)</t>
        </is>
      </c>
      <c r="H2" s="18" t="inlineStr">
        <is>
          <t>実送料(¥)</t>
        </is>
      </c>
      <c r="I2" s="18" t="inlineStr">
        <is>
          <t>eBay手数料(¥)</t>
        </is>
      </c>
      <c r="J2" s="18" t="inlineStr">
        <is>
          <t>DDP送料($)</t>
        </is>
      </c>
      <c r="K2" s="18" t="inlineStr">
        <is>
          <t>プロモ率</t>
        </is>
      </c>
      <c r="L2" s="18" t="inlineStr">
        <is>
          <t>利益(¥)</t>
        </is>
      </c>
      <c r="M2" s="18" t="inlineStr">
        <is>
          <t>利益率</t>
        </is>
      </c>
      <c r="N2" s="18" t="inlineStr">
        <is>
          <t>プロモ費(¥)</t>
        </is>
      </c>
      <c r="P2" s="18" t="inlineStr">
        <is>
          <t>Payo費(¥)</t>
        </is>
      </c>
    </row>
    <row r="3">
      <c r="A3">
        <f>D3+J3</f>
        <v/>
      </c>
      <c r="B3" s="7" t="inlineStr">
        <is>
          <t>推奨</t>
        </is>
      </c>
      <c r="C3">
        <f>J18</f>
        <v/>
      </c>
      <c r="D3">
        <f>INT(C3)+0.98</f>
        <v/>
      </c>
      <c r="E3" s="26">
        <f>$E$4</f>
        <v/>
      </c>
      <c r="F3">
        <f>$F$4</f>
        <v/>
      </c>
      <c r="G3" s="26">
        <f>D3*$D$1</f>
        <v/>
      </c>
      <c r="H3" s="26">
        <f>$H$4</f>
        <v/>
      </c>
      <c r="I3" s="26">
        <f>((D3+J3)*$D$1)*$I$1</f>
        <v/>
      </c>
      <c r="J3">
        <f>_xlfn.IFS(D3&gt;=800,260,D3&gt;=600,210,D3&gt;=500,155,D3&gt;=400,130,D3&gt;=300,105,D3&gt;=200,75,D3&gt;=100,50,D3&gt;=60,30,D3&gt;=40,20,D3&lt;40,15)</f>
        <v/>
      </c>
      <c r="K3" s="13">
        <f>$S$1</f>
        <v/>
      </c>
      <c r="L3" s="26">
        <f>G3-H3-I3-E3-N3-P3+F3</f>
        <v/>
      </c>
      <c r="M3" s="13">
        <f>L3/G3</f>
        <v/>
      </c>
      <c r="N3" s="26">
        <f>(D3+J3)*K3*$D$1</f>
        <v/>
      </c>
      <c r="P3" s="26">
        <f>G3*$U$1</f>
        <v/>
      </c>
    </row>
    <row r="4">
      <c r="A4">
        <f>D4+J4</f>
        <v/>
      </c>
      <c r="B4" s="17" t="inlineStr">
        <is>
          <t>出品中</t>
        </is>
      </c>
      <c r="C4" s="9" t="n">
        <v>432</v>
      </c>
      <c r="D4">
        <f>INT(C4)+0.98</f>
        <v/>
      </c>
      <c r="E4" s="28" t="n">
        <v>9800</v>
      </c>
      <c r="F4" t="n">
        <v>0</v>
      </c>
      <c r="G4" s="26">
        <f>D4*$D$1</f>
        <v/>
      </c>
      <c r="H4" s="28" t="n">
        <v>2000</v>
      </c>
      <c r="I4" s="26">
        <f>D4*$D$2*$I$2</f>
        <v/>
      </c>
      <c r="J4" t="n">
        <v>0</v>
      </c>
      <c r="K4" s="13">
        <f>$S$1</f>
        <v/>
      </c>
      <c r="L4" s="26">
        <f>G4-H4-I4-E4-N4-P4+F4</f>
        <v/>
      </c>
      <c r="M4" s="13">
        <f>L4/G4</f>
        <v/>
      </c>
      <c r="N4" s="26">
        <f>D4*K4*$D$2</f>
        <v/>
      </c>
      <c r="P4" s="26">
        <f>G4*$U$1</f>
        <v/>
      </c>
    </row>
    <row r="5">
      <c r="A5">
        <f>D5+J5</f>
        <v/>
      </c>
      <c r="B5" s="13" t="n">
        <v>0.05</v>
      </c>
      <c r="C5">
        <f>$C$4*(1-B5)</f>
        <v/>
      </c>
      <c r="D5">
        <f>INT(C5)+0.98</f>
        <v/>
      </c>
      <c r="E5" s="26">
        <f>$E$4</f>
        <v/>
      </c>
      <c r="F5">
        <f>$F$4</f>
        <v/>
      </c>
      <c r="G5" s="26">
        <f>D5*$D$1</f>
        <v/>
      </c>
      <c r="H5" s="26">
        <f>$H$4</f>
        <v/>
      </c>
      <c r="I5" s="26">
        <f>D5*$D$2*$I$2</f>
        <v/>
      </c>
      <c r="J5" t="n">
        <v>0</v>
      </c>
      <c r="K5" s="13">
        <f>$S$1</f>
        <v/>
      </c>
      <c r="L5" s="26">
        <f>G5-H5-I5-E5-N5-P5+F5</f>
        <v/>
      </c>
      <c r="M5" s="13">
        <f>L5/G5</f>
        <v/>
      </c>
      <c r="N5" s="26">
        <f>D5*K5*$D$2</f>
        <v/>
      </c>
      <c r="P5" s="26">
        <f>G5*$U$1</f>
        <v/>
      </c>
    </row>
    <row r="6">
      <c r="A6">
        <f>D6+J6</f>
        <v/>
      </c>
      <c r="B6" s="13" t="n">
        <v>0.08</v>
      </c>
      <c r="C6">
        <f>$C$4*(1-B6)</f>
        <v/>
      </c>
      <c r="D6">
        <f>INT(C6)+0.98</f>
        <v/>
      </c>
      <c r="E6" s="26">
        <f>$E$4</f>
        <v/>
      </c>
      <c r="F6">
        <f>$F$4</f>
        <v/>
      </c>
      <c r="G6" s="26">
        <f>D6*$D$1</f>
        <v/>
      </c>
      <c r="H6" s="26">
        <f>$H$4</f>
        <v/>
      </c>
      <c r="I6" s="26">
        <f>D6*$D$2*$I$2</f>
        <v/>
      </c>
      <c r="J6" t="n">
        <v>0</v>
      </c>
      <c r="K6" s="13">
        <f>$S$1</f>
        <v/>
      </c>
      <c r="L6" s="26">
        <f>G6-H6-I6-E6-N6-P6+F6</f>
        <v/>
      </c>
      <c r="M6" s="13">
        <f>L6/G6</f>
        <v/>
      </c>
      <c r="N6" s="26">
        <f>D6*K6*$D$2</f>
        <v/>
      </c>
      <c r="P6" s="26">
        <f>G6*$U$1</f>
        <v/>
      </c>
    </row>
    <row r="7">
      <c r="A7">
        <f>D7+J7</f>
        <v/>
      </c>
      <c r="B7" s="13" t="n">
        <v>0.1</v>
      </c>
      <c r="C7">
        <f>$C$4*(1-B7)</f>
        <v/>
      </c>
      <c r="D7">
        <f>INT(C7)+0.98</f>
        <v/>
      </c>
      <c r="E7" s="26">
        <f>$E$4</f>
        <v/>
      </c>
      <c r="F7">
        <f>$F$4</f>
        <v/>
      </c>
      <c r="G7" s="26">
        <f>D7*$D$1</f>
        <v/>
      </c>
      <c r="H7" s="26">
        <f>$H$4</f>
        <v/>
      </c>
      <c r="I7" s="26">
        <f>D7*$D$2*$I$2</f>
        <v/>
      </c>
      <c r="J7" t="n">
        <v>0</v>
      </c>
      <c r="K7" s="13">
        <f>$S$1</f>
        <v/>
      </c>
      <c r="L7" s="26">
        <f>G7-H7-I7-E7-N7-P7+F7</f>
        <v/>
      </c>
      <c r="M7" s="13">
        <f>L7/G7</f>
        <v/>
      </c>
      <c r="N7" s="26">
        <f>D7*K7*$D$2</f>
        <v/>
      </c>
      <c r="P7" s="26">
        <f>G7*$U$1</f>
        <v/>
      </c>
    </row>
    <row r="8">
      <c r="A8">
        <f>D8+J8</f>
        <v/>
      </c>
      <c r="B8" s="13" t="n">
        <v>0.15</v>
      </c>
      <c r="C8">
        <f>$C$4*(1-B8)</f>
        <v/>
      </c>
      <c r="D8">
        <f>INT(C8)+0.98</f>
        <v/>
      </c>
      <c r="E8" s="26">
        <f>$E$4</f>
        <v/>
      </c>
      <c r="F8">
        <f>$F$4</f>
        <v/>
      </c>
      <c r="G8" s="26">
        <f>D8*$D$1</f>
        <v/>
      </c>
      <c r="H8" s="26">
        <f>$H$4</f>
        <v/>
      </c>
      <c r="I8" s="26">
        <f>D8*$D$2*$I$2</f>
        <v/>
      </c>
      <c r="J8" t="n">
        <v>0</v>
      </c>
      <c r="K8" s="13">
        <f>$S$1</f>
        <v/>
      </c>
      <c r="L8" s="26">
        <f>G8-H8-I8-E8-N8-P8+F8</f>
        <v/>
      </c>
      <c r="M8" s="13">
        <f>L8/G8</f>
        <v/>
      </c>
      <c r="N8" s="26">
        <f>D8*K8*$D$2</f>
        <v/>
      </c>
      <c r="P8" s="26">
        <f>G8*$U$1</f>
        <v/>
      </c>
    </row>
    <row r="9">
      <c r="I9">
        <f>D9*$D$2*$I$2</f>
        <v/>
      </c>
      <c r="J9" t="n">
        <v>0</v>
      </c>
      <c r="N9">
        <f>D9*K9*$D$2</f>
        <v/>
      </c>
    </row>
    <row r="11">
      <c r="A11">
        <f>D11+J11</f>
        <v/>
      </c>
      <c r="B11" s="7" t="inlineStr">
        <is>
          <t>オファー価格</t>
        </is>
      </c>
      <c r="C11">
        <f>J18</f>
        <v/>
      </c>
      <c r="D11">
        <f>INT(C11)+0.98</f>
        <v/>
      </c>
      <c r="E11" s="26">
        <f>$E$4</f>
        <v/>
      </c>
      <c r="F11">
        <f>$F$4</f>
        <v/>
      </c>
      <c r="G11" s="26">
        <f>D11*$D$1</f>
        <v/>
      </c>
      <c r="H11" s="26">
        <f>$H$4</f>
        <v/>
      </c>
      <c r="I11" s="26">
        <f>((D11+J11)*$D$1)*$I$1</f>
        <v/>
      </c>
      <c r="J11">
        <f>_xlfn.IFS(D11&gt;=800,260,D11&gt;=600,210,D11&gt;=500,155,D11&gt;=400,130,D11&gt;=300,105,D11&gt;=200,75,D11&gt;=100,50,D11&gt;=60,30,D11&gt;=40,20,D11&lt;40,15)</f>
        <v/>
      </c>
      <c r="K11" s="13">
        <f>$S$1</f>
        <v/>
      </c>
      <c r="L11" s="26">
        <f>G11-H11-I11-E11-N11-P11+F11</f>
        <v/>
      </c>
      <c r="M11" s="13">
        <f>L11/G11</f>
        <v/>
      </c>
      <c r="N11" s="26">
        <f>(D11+J11)*K11*$D$1</f>
        <v/>
      </c>
      <c r="P11" s="26">
        <f>G11*$U$1</f>
        <v/>
      </c>
    </row>
    <row r="12">
      <c r="A12">
        <f>D12+J12</f>
        <v/>
      </c>
      <c r="B12" t="inlineStr">
        <is>
          <t>試算用</t>
        </is>
      </c>
      <c r="C12" s="9" t="n">
        <v>240</v>
      </c>
      <c r="D12">
        <f>INT(C12)+0.98</f>
        <v/>
      </c>
      <c r="E12" s="26">
        <f>$E$4</f>
        <v/>
      </c>
      <c r="F12">
        <f>$F$4</f>
        <v/>
      </c>
      <c r="G12" s="26">
        <f>D12*$D$1</f>
        <v/>
      </c>
      <c r="H12" s="26">
        <f>$H$4</f>
        <v/>
      </c>
      <c r="I12" s="26">
        <f>D12*$D$2*$I$2</f>
        <v/>
      </c>
      <c r="J12" t="n">
        <v>0</v>
      </c>
      <c r="K12" s="13">
        <f>$S$1</f>
        <v/>
      </c>
      <c r="L12" s="26">
        <f>G12-H12-I12-E12-N12-P12+F12</f>
        <v/>
      </c>
      <c r="M12" s="13">
        <f>L12/G12</f>
        <v/>
      </c>
      <c r="N12" s="26">
        <f>D12*K12*$D$2</f>
        <v/>
      </c>
      <c r="P12" s="26">
        <f>G12*$U$1</f>
        <v/>
      </c>
    </row>
    <row r="13">
      <c r="I13">
        <f>D13*$D$2*$I$2</f>
        <v/>
      </c>
      <c r="J13" t="n">
        <v>0</v>
      </c>
      <c r="N13">
        <f>D13*K13*$D$2</f>
        <v/>
      </c>
    </row>
    <row r="15">
      <c r="C15" s="1" t="inlineStr">
        <is>
          <t>■ カテゴリ別参考価格 (/140 参考レート基準)</t>
        </is>
      </c>
    </row>
    <row r="16">
      <c r="D16" s="18" t="inlineStr">
        <is>
          <t>手数料</t>
        </is>
      </c>
      <c r="E16" s="18" t="inlineStr">
        <is>
          <t>実送料</t>
        </is>
      </c>
      <c r="H16" s="18" t="inlineStr">
        <is>
          <t>仕入</t>
        </is>
      </c>
      <c r="I16" s="18" t="inlineStr">
        <is>
          <t>SS</t>
        </is>
      </c>
      <c r="J16" s="18" t="inlineStr">
        <is>
          <t>A</t>
        </is>
      </c>
      <c r="K16" s="18" t="inlineStr">
        <is>
          <t>B</t>
        </is>
      </c>
      <c r="L16" s="18" t="inlineStr">
        <is>
          <t>C</t>
        </is>
      </c>
      <c r="M16" s="18" t="inlineStr">
        <is>
          <t>D</t>
        </is>
      </c>
      <c r="N16" s="18" t="inlineStr">
        <is>
          <t>E</t>
        </is>
      </c>
      <c r="O16" s="18" t="inlineStr">
        <is>
          <t>E2</t>
        </is>
      </c>
    </row>
    <row r="17">
      <c r="C17" t="inlineStr">
        <is>
          <t>TCG(PSA10)</t>
        </is>
      </c>
      <c r="D17" s="13" t="n">
        <v>0.1325</v>
      </c>
      <c r="E17" s="26" t="n">
        <v>2000</v>
      </c>
      <c r="H17" s="26">
        <f>E4</f>
        <v/>
      </c>
      <c r="I17">
        <f>ROUNDDOWN(((H17+E17+5000)/(1-(D17+0.02+$K$1)-$S$1-$U$1))/140,0)+0.98</f>
        <v/>
      </c>
      <c r="J17">
        <f>ROUNDDOWN(((H17+E17+4000)/(1-(D17+0.02+$K$1)-$S$1-$U$1))/140,0)+0.98</f>
        <v/>
      </c>
      <c r="K17">
        <f>ROUNDDOWN(((H17+E17+3000)/(1-(D17+0.02+$K$1)-$S$1-$U$1))/140,0)+0.98</f>
        <v/>
      </c>
      <c r="L17">
        <f>ROUNDDOWN(((H17+E17+2000)/(1-(D17+0.02+$K$1)-$S$1-$U$1))/140,0)+0.98</f>
        <v/>
      </c>
      <c r="M17">
        <f>ROUNDDOWN(((H17+E17+1000)/(1-(D17+0.02+$K$1)-$S$1-$U$1))/140,0)+0.98</f>
        <v/>
      </c>
      <c r="N17">
        <f>ROUNDDOWN(((H17+E17+500)/(1-(D17+0.02+$K$1)-$S$1-$U$1))/140,0)+0.98</f>
        <v/>
      </c>
      <c r="O17">
        <f>ROUNDDOWN(((H17+E17+0)/(1-(D17+0.02+$K$1)-$S$1-$U$1))/140,0)+0.98</f>
        <v/>
      </c>
    </row>
    <row r="18">
      <c r="C18" t="inlineStr">
        <is>
          <t>Tシャツ/Montbell一般</t>
        </is>
      </c>
      <c r="D18" s="13" t="n">
        <v>0.153</v>
      </c>
      <c r="E18" s="26" t="n">
        <v>2000</v>
      </c>
      <c r="H18" s="26">
        <f>E4</f>
        <v/>
      </c>
      <c r="I18">
        <f>ROUNDDOWN(((H18+E18+5000)/(1-(D18+0.02+$K$1)-$S$1-$U$1))/140,0)+0.98</f>
        <v/>
      </c>
      <c r="J18">
        <f>ROUNDDOWN(((H18+E18+4000)/(1-(D18+0.02+$K$1)-$S$1-$U$1))/140,0)+0.98</f>
        <v/>
      </c>
      <c r="K18">
        <f>ROUNDDOWN(((H18+E18+3000)/(1-(D18+0.02+$K$1)-$S$1-$U$1))/140,0)+0.98</f>
        <v/>
      </c>
      <c r="L18">
        <f>ROUNDDOWN(((H18+E18+2000)/(1-(D18+0.02+$K$1)-$S$1-$U$1))/140,0)+0.98</f>
        <v/>
      </c>
      <c r="M18">
        <f>ROUNDDOWN(((H18+E18+1000)/(1-(D18+0.02+$K$1)-$S$1-$U$1))/140,0)+0.98</f>
        <v/>
      </c>
      <c r="N18">
        <f>ROUNDDOWN(((H18+E18+500)/(1-(D18+0.02+$K$1)-$S$1-$U$1))/140,0)+0.98</f>
        <v/>
      </c>
      <c r="O18">
        <f>ROUNDDOWN(((H18+E18+0)/(1-(D18+0.02+$K$1)-$S$1-$U$1))/140,0)+0.98</f>
        <v/>
      </c>
    </row>
    <row r="19">
      <c r="C19" t="inlineStr">
        <is>
          <t>フィギュア</t>
        </is>
      </c>
      <c r="D19" s="13" t="n">
        <v>0.1325</v>
      </c>
      <c r="E19" s="26" t="n">
        <v>3500</v>
      </c>
      <c r="H19" s="26">
        <f>E4</f>
        <v/>
      </c>
      <c r="I19">
        <f>ROUNDDOWN(((H19+E19+5000)/(1-(D19+0.02+$K$1)-$S$1-$U$1))/140,0)+0.98</f>
        <v/>
      </c>
      <c r="J19">
        <f>ROUNDDOWN(((H19+E19+4000)/(1-(D19+0.02+$K$1)-$S$1-$U$1))/140,0)+0.98</f>
        <v/>
      </c>
      <c r="K19">
        <f>ROUNDDOWN(((H19+E19+3000)/(1-(D19+0.02+$K$1)-$S$1-$U$1))/140,0)+0.98</f>
        <v/>
      </c>
      <c r="L19">
        <f>ROUNDDOWN(((H19+E19+2000)/(1-(D19+0.02+$K$1)-$S$1-$U$1))/140,0)+0.98</f>
        <v/>
      </c>
      <c r="M19">
        <f>ROUNDDOWN(((H19+E19+1000)/(1-(D19+0.02+$K$1)-$S$1-$U$1))/140,0)+0.98</f>
        <v/>
      </c>
      <c r="N19">
        <f>ROUNDDOWN(((H19+E19+500)/(1-(D19+0.02+$K$1)-$S$1-$U$1))/140,0)+0.98</f>
        <v/>
      </c>
      <c r="O19">
        <f>ROUNDDOWN(((H19+E19+0)/(1-(D19+0.02+$K$1)-$S$1-$U$1))/140,0)+0.98</f>
        <v/>
      </c>
    </row>
    <row r="20">
      <c r="C20" t="inlineStr">
        <is>
          <t>G-SHOCK</t>
        </is>
      </c>
      <c r="D20" s="13" t="n">
        <v>0.1325</v>
      </c>
      <c r="E20" s="26" t="n">
        <v>2000</v>
      </c>
      <c r="H20" s="26">
        <f>E4</f>
        <v/>
      </c>
      <c r="I20">
        <f>ROUNDDOWN(((H20+E20+5000)/(1-(D20+0.02+$K$1)-$S$1-$U$1))/140,0)+0.98</f>
        <v/>
      </c>
      <c r="J20">
        <f>ROUNDDOWN(((H20+E20+4000)/(1-(D20+0.02+$K$1)-$S$1-$U$1))/140,0)+0.98</f>
        <v/>
      </c>
      <c r="K20">
        <f>ROUNDDOWN(((H20+E20+3000)/(1-(D20+0.02+$K$1)-$S$1-$U$1))/140,0)+0.98</f>
        <v/>
      </c>
      <c r="L20">
        <f>ROUNDDOWN(((H20+E20+2000)/(1-(D20+0.02+$K$1)-$S$1-$U$1))/140,0)+0.98</f>
        <v/>
      </c>
      <c r="M20">
        <f>ROUNDDOWN(((H20+E20+1000)/(1-(D20+0.02+$K$1)-$S$1-$U$1))/140,0)+0.98</f>
        <v/>
      </c>
      <c r="N20">
        <f>ROUNDDOWN(((H20+E20+500)/(1-(D20+0.02+$K$1)-$S$1-$U$1))/140,0)+0.98</f>
        <v/>
      </c>
      <c r="O20">
        <f>ROUNDDOWN(((H20+E20+0)/(1-(D20+0.02+$K$1)-$S$1-$U$1))/140,0)+0.98</f>
        <v/>
      </c>
    </row>
    <row r="21">
      <c r="C21" t="inlineStr">
        <is>
          <t>Montbell(ジャケット)</t>
        </is>
      </c>
      <c r="D21" s="13" t="n">
        <v>0.153</v>
      </c>
      <c r="E21" s="26" t="n">
        <v>4500</v>
      </c>
      <c r="H21" s="26">
        <f>E4</f>
        <v/>
      </c>
      <c r="I21">
        <f>ROUNDDOWN(((H21+E21+5000)/(1-(D21+0.02+$K$1)-$S$1-$U$1))/140,0)+0.98</f>
        <v/>
      </c>
      <c r="J21">
        <f>ROUNDDOWN(((H21+E21+4000)/(1-(D21+0.02+$K$1)-$S$1-$U$1))/140,0)+0.98</f>
        <v/>
      </c>
      <c r="K21">
        <f>ROUNDDOWN(((H21+E21+3000)/(1-(D21+0.02+$K$1)-$S$1-$U$1))/140,0)+0.98</f>
        <v/>
      </c>
      <c r="L21">
        <f>ROUNDDOWN(((H21+E21+2000)/(1-(D21+0.02+$K$1)-$S$1-$U$1))/140,0)+0.98</f>
        <v/>
      </c>
      <c r="M21">
        <f>ROUNDDOWN(((H21+E21+1000)/(1-(D21+0.02+$K$1)-$S$1-$U$1))/140,0)+0.98</f>
        <v/>
      </c>
      <c r="N21">
        <f>ROUNDDOWN(((H21+E21+500)/(1-(D21+0.02+$K$1)-$S$1-$U$1))/140,0)+0.98</f>
        <v/>
      </c>
      <c r="O21">
        <f>ROUNDDOWN(((H21+E21+0)/(1-(D21+0.02+$K$1)-$S$1-$U$1))/140,0)+0.98</f>
        <v/>
      </c>
    </row>
    <row r="23">
      <c r="C23" s="10" t="inlineStr">
        <is>
          <t>※ /140 は意図的な参考レート (C4で手動調整する運用)</t>
        </is>
      </c>
    </row>
    <row r="24">
      <c r="C24" s="10" t="inlineStr">
        <is>
          <t>※ net_ratio = 1 - 手数料 - プロモ - Payo で国別自動補正済</t>
        </is>
      </c>
    </row>
  </sheetData>
  <dataValidations count="1">
    <dataValidation sqref="F1" showDropDown="0" showInputMessage="0" showErrorMessage="0" allowBlank="0" type="list">
      <formula1>設定!$A$17:$A$32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ColWidth="9" defaultRowHeight="13.2"/>
  <cols>
    <col width="28" customWidth="1" min="1" max="1"/>
    <col width="16" customWidth="1" min="2" max="2"/>
    <col width="52" customWidth="1" min="3" max="3"/>
  </cols>
  <sheetData>
    <row r="1">
      <c r="A1" s="1" t="inlineStr">
        <is>
          <t>■ 仕入GATE 判定</t>
        </is>
      </c>
    </row>
    <row r="3">
      <c r="A3" s="7" t="inlineStr">
        <is>
          <t>【入力】</t>
        </is>
      </c>
    </row>
    <row r="4">
      <c r="A4" t="inlineStr">
        <is>
          <t>仕入値(JPY)</t>
        </is>
      </c>
      <c r="B4" s="28" t="n">
        <v>5000</v>
      </c>
    </row>
    <row r="5">
      <c r="A5" t="inlineStr">
        <is>
          <t>カテゴリ名</t>
        </is>
      </c>
      <c r="B5" s="9" t="inlineStr">
        <is>
          <t>Tシャツ(UT)</t>
        </is>
      </c>
      <c r="C5" s="10" t="inlineStr">
        <is>
          <t>設定シートのカテゴリ名を正確に入力 (大文字小文字/括弧まで一致)</t>
        </is>
      </c>
    </row>
    <row r="6">
      <c r="A6" t="inlineStr">
        <is>
          <t>対象国</t>
        </is>
      </c>
      <c r="B6" s="9" t="inlineStr">
        <is>
          <t>US</t>
        </is>
      </c>
      <c r="C6" s="10" t="inlineStr">
        <is>
          <t>US / UK / AU / EU / その他</t>
        </is>
      </c>
    </row>
    <row r="7">
      <c r="A7" t="inlineStr">
        <is>
          <t>eBay SOLD中央値($)</t>
        </is>
      </c>
      <c r="B7" s="29" t="n">
        <v>0</v>
      </c>
      <c r="C7" s="10" t="inlineStr">
        <is>
          <t>直近30日・類似品のSOLD中央値を手動入力</t>
        </is>
      </c>
    </row>
    <row r="9">
      <c r="A9" s="7" t="inlineStr">
        <is>
          <t>【参照値(自動)】</t>
        </is>
      </c>
    </row>
    <row r="10">
      <c r="A10" t="inlineStr">
        <is>
          <t>参照送料(¥)</t>
        </is>
      </c>
      <c r="B10" s="26">
        <f>VLOOKUP(B5,設定!$A$17:$D$32,3,FALSE)</f>
        <v/>
      </c>
    </row>
    <row r="11">
      <c r="A11" t="inlineStr">
        <is>
          <t>国別手数料率</t>
        </is>
      </c>
      <c r="B11" s="13">
        <f>VLOOKUP(B6,設定!$A$9:$B$13,2,FALSE)</f>
        <v/>
      </c>
    </row>
    <row r="12">
      <c r="A12" t="inlineStr">
        <is>
          <t>プロモ率</t>
        </is>
      </c>
      <c r="B12" s="13">
        <f>設定!$B$3</f>
        <v/>
      </c>
    </row>
    <row r="13">
      <c r="A13" t="inlineStr">
        <is>
          <t>ペイオニア率</t>
        </is>
      </c>
      <c r="B13" s="13">
        <f>設定!$B$4</f>
        <v/>
      </c>
    </row>
    <row r="14">
      <c r="A14" t="inlineStr">
        <is>
          <t>目標利益率</t>
        </is>
      </c>
      <c r="B14" s="13">
        <f>設定!$B$5</f>
        <v/>
      </c>
    </row>
    <row r="15">
      <c r="A15" t="inlineStr">
        <is>
          <t>為替レート</t>
        </is>
      </c>
      <c r="B15" s="25">
        <f>設定!$B$2</f>
        <v/>
      </c>
    </row>
    <row r="17">
      <c r="A17" s="7" t="inlineStr">
        <is>
          <t>【計算】</t>
        </is>
      </c>
    </row>
    <row r="18">
      <c r="A18" t="inlineStr">
        <is>
          <t>損益分岐 最低$</t>
        </is>
      </c>
      <c r="B18" s="30">
        <f>(B4+B10)/((1-B11-B12-B13)*B15)</f>
        <v/>
      </c>
      <c r="C18" s="10" t="inlineStr">
        <is>
          <t>この価格で売れば利益ゼロ</t>
        </is>
      </c>
    </row>
    <row r="19">
      <c r="A19" t="inlineStr">
        <is>
          <t>目標確保 下限$</t>
        </is>
      </c>
      <c r="B19" s="30">
        <f>(B4+B10)/((1-B11-B12-B13-B14)*B15)</f>
        <v/>
      </c>
      <c r="C19" s="10" t="inlineStr">
        <is>
          <t>目標利益率を満たす最低eBay価格</t>
        </is>
      </c>
    </row>
    <row r="21">
      <c r="A21" s="7" t="inlineStr">
        <is>
          <t>【GATE判定】</t>
        </is>
      </c>
    </row>
    <row r="22" ht="16.2" customHeight="1">
      <c r="A22" t="inlineStr">
        <is>
          <t>判定</t>
        </is>
      </c>
      <c r="B22" s="16">
        <f>IF(B7=0,"SOLD中央値未入力",IF(B7*0.9&gt;=B19,"✅ GO","❌ NOGO"))</f>
        <v/>
      </c>
      <c r="C22" s="10" t="inlineStr">
        <is>
          <t>条件: SOLD中央値×90% ≥ 目標確保下限$</t>
        </is>
      </c>
    </row>
    <row r="23">
      <c r="A23" t="inlineStr">
        <is>
          <t>期待売価($)</t>
        </is>
      </c>
      <c r="B23" s="30">
        <f>IF(B7=0,0,B7*0.95)</f>
        <v/>
      </c>
      <c r="C23" s="10" t="inlineStr">
        <is>
          <t>SOLD中央値×95% (市場より少し安く設定)</t>
        </is>
      </c>
    </row>
    <row r="24">
      <c r="A24" t="inlineStr">
        <is>
          <t>期待利益(¥)</t>
        </is>
      </c>
      <c r="B24" s="26">
        <f>IF(B7=0,0,B23*B15*(1-B11-B12-B13)-B4-B10)</f>
        <v/>
      </c>
    </row>
    <row r="25">
      <c r="A25" t="inlineStr">
        <is>
          <t>期待利益率</t>
        </is>
      </c>
      <c r="B25" s="13">
        <f>IF(OR(B7=0,B23=0),0,(B23*B15*(1-B11-B12-B13)-B4-B10)/(B23*B15))</f>
        <v/>
      </c>
    </row>
    <row r="28">
      <c r="A28" s="1" t="inlineStr">
        <is>
          <t>■ 使い方</t>
        </is>
      </c>
    </row>
    <row r="29">
      <c r="A29" s="10" t="inlineStr">
        <is>
          <t>1. メルカリで候補を見つけたら 仕入値(B4) を入力</t>
        </is>
      </c>
    </row>
    <row r="30">
      <c r="A30" s="10" t="inlineStr">
        <is>
          <t>2. カテゴリ(B5)・対象国(B6)を選択 → 送料・手数料が自動入力</t>
        </is>
      </c>
    </row>
    <row r="31">
      <c r="A31" s="10" t="inlineStr">
        <is>
          <t>3. 目標確保下限$(B19) が出る = この価格以上で売らないと目標利益が出ない</t>
        </is>
      </c>
    </row>
    <row r="32">
      <c r="A32" s="10" t="inlineStr">
        <is>
          <t>4. eBay で同等商品のSOLD中央値を調べて B7 に入力</t>
        </is>
      </c>
    </row>
    <row r="33">
      <c r="A33" s="10" t="inlineStr">
        <is>
          <t>5. GATE判定(B22) を確認:</t>
        </is>
      </c>
    </row>
    <row r="34">
      <c r="A34" s="10" t="inlineStr">
        <is>
          <t xml:space="preserve">   ✅ GO → 出品する価値あり (市場価格が目標下限を満たす)</t>
        </is>
      </c>
    </row>
    <row r="35">
      <c r="A35" s="10" t="inlineStr">
        <is>
          <t xml:space="preserve">   ❌ NOGO → 市場価格がコストプラス目標に届かない。見送り推奨</t>
        </is>
      </c>
    </row>
    <row r="36">
      <c r="A36" s="10" t="inlineStr"/>
    </row>
    <row r="37">
      <c r="A37" s="10" t="inlineStr">
        <is>
          <t>※ 判定条件は 中央値×90% ≥ 目標下限$。90%の理由: 出品価格を市場より</t>
        </is>
      </c>
    </row>
    <row r="38">
      <c r="A38" s="10" t="inlineStr">
        <is>
          <t xml:space="preserve">   少し安く設定して成約率を上げるため。攻めたいなら 0.95 等に調整可</t>
        </is>
      </c>
    </row>
    <row r="39">
      <c r="A39" s="10" t="inlineStr">
        <is>
          <t>※ DDP送料・割引分は未考慮のシンプル版</t>
        </is>
      </c>
    </row>
    <row r="40">
      <c r="A40" s="10" t="inlineStr">
        <is>
          <t>※ Phase2 で iMakeBayAPI 経由で SOLD中央値を自動取得予定</t>
        </is>
      </c>
    </row>
  </sheetData>
  <mergeCells count="12">
    <mergeCell ref="A36:C36"/>
    <mergeCell ref="A33:C33"/>
    <mergeCell ref="A37:C37"/>
    <mergeCell ref="A32:C32"/>
    <mergeCell ref="A31:C31"/>
    <mergeCell ref="A40:C40"/>
    <mergeCell ref="A30:C30"/>
    <mergeCell ref="A39:C39"/>
    <mergeCell ref="A34:C34"/>
    <mergeCell ref="A35:C35"/>
    <mergeCell ref="A38:C38"/>
    <mergeCell ref="A29:C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:C1"/>
    </sheetView>
  </sheetViews>
  <sheetFormatPr baseColWidth="8" defaultColWidth="9" defaultRowHeight="13.2"/>
  <cols>
    <col width="14" customWidth="1" min="1" max="1"/>
    <col width="58" customWidth="1" min="2" max="2"/>
    <col width="48" customWidth="1" min="3" max="3"/>
  </cols>
  <sheetData>
    <row r="1">
      <c r="A1" s="1" t="inlineStr">
        <is>
          <t>■ 変更履歴 (旧【NEW】利益計算シート.xlsx からの差分)</t>
        </is>
      </c>
    </row>
    <row r="3">
      <c r="A3" s="2" t="inlineStr">
        <is>
          <t>区分</t>
        </is>
      </c>
      <c r="B3" s="2" t="inlineStr">
        <is>
          <t>内容</t>
        </is>
      </c>
      <c r="C3" s="2" t="inlineStr">
        <is>
          <t>理由・備考</t>
        </is>
      </c>
    </row>
    <row r="4">
      <c r="A4" s="3" t="inlineStr">
        <is>
          <t>修正</t>
        </is>
      </c>
      <c r="B4" t="inlineStr">
        <is>
          <t>プロモ率 0.11 → 0.06</t>
        </is>
      </c>
      <c r="C4" t="inlineStr">
        <is>
          <t>販売実績実測 5.82%(保守的にround up)</t>
        </is>
      </c>
    </row>
    <row r="5">
      <c r="A5" s="3" t="inlineStr">
        <is>
          <t>修正</t>
        </is>
      </c>
      <c r="B5" t="inlineStr">
        <is>
          <t>国別手数料率を分離 (US18.5 / UK22.5 / AU15.0)</t>
        </is>
      </c>
      <c r="C5" t="inlineStr">
        <is>
          <t>実測: US18.53% / UK22.55% / AU14.88%</t>
        </is>
      </c>
    </row>
    <row r="6">
      <c r="A6" s="4" t="inlineStr">
        <is>
          <t>新規</t>
        </is>
      </c>
      <c r="B6" t="inlineStr">
        <is>
          <t>ペイオニア手数料 2.5% を独立費目に</t>
        </is>
      </c>
      <c r="C6" t="inlineStr">
        <is>
          <t>FX+出金の実コストを顕在化 (隠れ費用の可視化)</t>
        </is>
      </c>
    </row>
    <row r="7">
      <c r="A7" s="4" t="inlineStr">
        <is>
          <t>新規</t>
        </is>
      </c>
      <c r="B7" t="inlineStr">
        <is>
          <t>設定シート (中央制御盤)</t>
        </is>
      </c>
      <c r="C7" t="inlineStr">
        <is>
          <t>全パラメータを1箇所集約、全シートから参照</t>
        </is>
      </c>
    </row>
    <row r="8">
      <c r="A8" s="4" t="inlineStr">
        <is>
          <t>新規</t>
        </is>
      </c>
      <c r="B8" t="inlineStr">
        <is>
          <t>仕入GATEシート</t>
        </is>
      </c>
      <c r="C8" t="inlineStr">
        <is>
          <t>メルカリ仕入時のGO/NOGO判定 (シンプル版)</t>
        </is>
      </c>
    </row>
    <row r="9">
      <c r="A9" s="4" t="inlineStr">
        <is>
          <t>新規</t>
        </is>
      </c>
      <c r="B9" t="inlineStr">
        <is>
          <t>Montbell(ジャケット) を別カテゴリ化</t>
        </is>
      </c>
      <c r="C9" t="inlineStr">
        <is>
          <t>送料4500円で分離 (過去赤字3件が全てジャケット)</t>
        </is>
      </c>
    </row>
    <row r="10">
      <c r="A10" s="5" t="inlineStr">
        <is>
          <t>改善</t>
        </is>
      </c>
      <c r="B10" t="inlineStr">
        <is>
          <t>カテゴリ参考価格の後費用率を国別自動補正</t>
        </is>
      </c>
      <c r="C10" t="inlineStr">
        <is>
          <t>旧: /0.72 固定 → 新: 1 - 手数料 - プロモ - Payo</t>
        </is>
      </c>
    </row>
    <row r="11">
      <c r="A11" s="6" t="inlineStr">
        <is>
          <t>保持</t>
        </is>
      </c>
      <c r="B11" t="inlineStr">
        <is>
          <t>140円/$ ハードコード (I-O 17-21行)</t>
        </is>
      </c>
      <c r="C11" t="inlineStr">
        <is>
          <t>意図的参考レート。C4で手動調整運用を尊重</t>
        </is>
      </c>
    </row>
    <row r="12">
      <c r="A12" s="6" t="inlineStr">
        <is>
          <t>保持</t>
        </is>
      </c>
      <c r="B12" t="inlineStr">
        <is>
          <t>eBay手数料 18.5% (US)</t>
        </is>
      </c>
      <c r="C12" t="inlineStr">
        <is>
          <t>実測18.37%と一致、TAX/miscバッファ込み構造</t>
        </is>
      </c>
    </row>
    <row r="13">
      <c r="A13" s="6" t="inlineStr">
        <is>
          <t>保持</t>
        </is>
      </c>
      <c r="B13" t="inlineStr">
        <is>
          <t>割引ラダー 5/8/10/15%</t>
        </is>
      </c>
      <c r="C13" t="inlineStr">
        <is>
          <t>オファー時・値下げ時の試算用</t>
        </is>
      </c>
    </row>
    <row r="14">
      <c r="A14" s="6" t="inlineStr">
        <is>
          <t>保持</t>
        </is>
      </c>
      <c r="B14" t="inlineStr">
        <is>
          <t>US/UK/AU の3シート分離</t>
        </is>
      </c>
      <c r="C14" t="inlineStr">
        <is>
          <t>地域別に手数料率が異なるため</t>
        </is>
      </c>
    </row>
    <row r="15">
      <c r="A15" s="6" t="inlineStr">
        <is>
          <t>保持</t>
        </is>
      </c>
      <c r="B15" t="inlineStr">
        <is>
          <t>推奨行/オファー価格/試算行</t>
        </is>
      </c>
      <c r="C15" t="inlineStr">
        <is>
          <t>既存ワークフローを維持</t>
        </is>
      </c>
    </row>
    <row r="17">
      <c r="A17" t="inlineStr">
        <is>
          <t>作成日</t>
        </is>
      </c>
      <c r="B17" t="inlineStr">
        <is>
          <t>2026-04-12</t>
        </is>
      </c>
    </row>
    <row r="18">
      <c r="A18" t="inlineStr">
        <is>
          <t>作成者</t>
        </is>
      </c>
      <c r="B18" t="inlineStr">
        <is>
          <t>Claude (iMakHQ 構想会話内で自動生成)</t>
        </is>
      </c>
    </row>
    <row r="19">
      <c r="A19" t="inlineStr">
        <is>
          <t>旧ファイル</t>
        </is>
      </c>
      <c r="B19" t="inlineStr">
        <is>
          <t>【NEW】利益計算シート.xlsx (同じデスクトップ)</t>
        </is>
      </c>
      <c r="C19" t="inlineStr">
        <is>
          <t>戻したい時はそちらを参照</t>
        </is>
      </c>
    </row>
    <row r="20">
      <c r="A20" s="5" t="inlineStr">
        <is>
          <t>追記</t>
        </is>
      </c>
      <c r="B20" t="inlineStr">
        <is>
          <t>eBay公式FVF参考値セクションを設定シートに追加</t>
        </is>
      </c>
      <c r="C20" t="inlineStr">
        <is>
          <t>TCG/Toys=13.25% / Clothing=15.30% +共通2%。主計算は未接続(参考のみ)</t>
        </is>
      </c>
    </row>
    <row r="21">
      <c r="A21" s="4" t="inlineStr">
        <is>
          <t>新規</t>
        </is>
      </c>
      <c r="B21" t="inlineStr">
        <is>
          <t>カテゴリセレクタ追加 (各計算シート F1)</t>
        </is>
      </c>
      <c r="C21" t="inlineStr">
        <is>
          <t>I1 = VLOOKUP(F1, cat table) + 0.02 + 国別補正 で動的計算</t>
        </is>
      </c>
    </row>
    <row r="22">
      <c r="A22" s="3" t="inlineStr">
        <is>
          <t>修正</t>
        </is>
      </c>
      <c r="B22" t="inlineStr">
        <is>
          <t>設定!B17:B32 を公式FVF値に更新 (0.1325 or 0.1530)</t>
        </is>
      </c>
      <c r="C22" t="inlineStr">
        <is>
          <t>旧: 手数料参考 (0.135等) → 新: eBay公式 FVF 2026</t>
        </is>
      </c>
    </row>
    <row r="23">
      <c r="A23" s="4" t="inlineStr">
        <is>
          <t>新規</t>
        </is>
      </c>
      <c r="B23" t="inlineStr">
        <is>
          <t>国別補正セル (K1) を各計算シートに追加</t>
        </is>
      </c>
      <c r="C23" t="inlineStr">
        <is>
          <t>US:0% / UK:+5% / AU:-2% (VAT/GST関連の実測差を吸収)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ColWidth="9" defaultRowHeight="13.2"/>
  <cols>
    <col width="11" customWidth="1" min="1" max="1"/>
    <col width="13" customWidth="1" min="2" max="2"/>
    <col width="11" customWidth="1" min="3" max="3"/>
    <col width="13" customWidth="1" min="4" max="5"/>
    <col width="12" customWidth="1" min="6" max="7"/>
    <col width="11" customWidth="1" min="8" max="8"/>
    <col width="14" customWidth="1" min="9" max="9"/>
    <col width="11" customWidth="1" min="10" max="10"/>
    <col width="10" customWidth="1" min="11" max="11"/>
    <col width="14" customWidth="1" min="12" max="12"/>
    <col width="10" customWidth="1" min="13" max="13"/>
    <col width="14" customWidth="1" min="14" max="16"/>
    <col width="10" customWidth="1" min="17" max="17"/>
    <col width="11" customWidth="1" min="18" max="18"/>
    <col width="10" customWidth="1" min="19" max="19"/>
    <col width="11" customWidth="1" min="20" max="20"/>
    <col width="10" customWidth="1" min="21" max="21"/>
  </cols>
  <sheetData>
    <row r="1">
      <c r="A1" s="7" t="inlineStr">
        <is>
          <t>国</t>
        </is>
      </c>
      <c r="B1" t="inlineStr">
        <is>
          <t>UK</t>
        </is>
      </c>
      <c r="C1" s="7" t="inlineStr">
        <is>
          <t>為替</t>
        </is>
      </c>
      <c r="D1" s="25">
        <f>設定!$B$2</f>
        <v/>
      </c>
      <c r="E1" s="7" t="inlineStr">
        <is>
          <t>カテゴリ</t>
        </is>
      </c>
      <c r="F1" s="17" t="inlineStr">
        <is>
          <t>TCG(PSA10)</t>
        </is>
      </c>
      <c r="H1" s="7" t="inlineStr">
        <is>
          <t>手数料率</t>
        </is>
      </c>
      <c r="I1" s="13">
        <f>VLOOKUP(F1,設定!$A$17:$B$32,2,FALSE)+0.02+K1</f>
        <v/>
      </c>
      <c r="J1" s="7" t="inlineStr">
        <is>
          <t>国別補正</t>
        </is>
      </c>
      <c r="K1" s="19" t="n">
        <v>0.05</v>
      </c>
      <c r="R1" s="7" t="inlineStr">
        <is>
          <t>プロモ</t>
        </is>
      </c>
      <c r="S1" s="13">
        <f>設定!$B$3</f>
        <v/>
      </c>
      <c r="T1" s="7" t="inlineStr">
        <is>
          <t>Payo</t>
        </is>
      </c>
      <c r="U1" s="13">
        <f>設定!$B$4</f>
        <v/>
      </c>
    </row>
    <row r="2">
      <c r="A2" s="18" t="inlineStr">
        <is>
          <t>送料込み</t>
        </is>
      </c>
      <c r="B2" s="18" t="inlineStr">
        <is>
          <t>DE</t>
        </is>
      </c>
      <c r="D2" s="18">
        <f>設定!$F$2</f>
        <v/>
      </c>
      <c r="E2" s="18" t="inlineStr">
        <is>
          <t>仕入(¥)</t>
        </is>
      </c>
      <c r="F2" s="18" t="inlineStr">
        <is>
          <t>ポイント還元</t>
        </is>
      </c>
      <c r="G2" s="18" t="inlineStr">
        <is>
          <t>売上(¥)</t>
        </is>
      </c>
      <c r="H2" s="18" t="inlineStr">
        <is>
          <t>実送料(¥)</t>
        </is>
      </c>
      <c r="I2" s="18" t="inlineStr">
        <is>
          <t>eBay手数料(¥)</t>
        </is>
      </c>
      <c r="J2" s="18" t="inlineStr">
        <is>
          <t>DDP送料($)</t>
        </is>
      </c>
      <c r="K2" s="18" t="n">
        <v>0.0325</v>
      </c>
      <c r="L2" s="18" t="inlineStr">
        <is>
          <t>利益(¥)</t>
        </is>
      </c>
      <c r="M2" s="18" t="inlineStr">
        <is>
          <t>利益率</t>
        </is>
      </c>
      <c r="N2" s="18" t="inlineStr">
        <is>
          <t>プロモ費(¥)</t>
        </is>
      </c>
      <c r="P2" s="18" t="inlineStr">
        <is>
          <t>Payo費(¥)</t>
        </is>
      </c>
    </row>
    <row r="3">
      <c r="A3">
        <f>D3+J3</f>
        <v/>
      </c>
      <c r="B3" s="7" t="inlineStr">
        <is>
          <t>推奨</t>
        </is>
      </c>
      <c r="C3">
        <f>J18</f>
        <v/>
      </c>
      <c r="D3">
        <f>INT(C3)+0.98</f>
        <v/>
      </c>
      <c r="E3" s="26">
        <f>$E$4</f>
        <v/>
      </c>
      <c r="F3">
        <f>$F$4</f>
        <v/>
      </c>
      <c r="G3" s="26">
        <f>D3*$D$1</f>
        <v/>
      </c>
      <c r="H3" s="26">
        <f>$H$4</f>
        <v/>
      </c>
      <c r="I3" s="26">
        <f>((D3+J3)*$D$1)*$I$1</f>
        <v/>
      </c>
      <c r="J3">
        <f>_xlfn.IFS(D3&gt;=800,260,D3&gt;=600,210,D3&gt;=500,155,D3&gt;=400,130,D3&gt;=300,105,D3&gt;=200,75,D3&gt;=100,50,D3&gt;=60,30,D3&gt;=40,20,D3&lt;40,15)</f>
        <v/>
      </c>
      <c r="K3" s="13">
        <f>$S$1</f>
        <v/>
      </c>
      <c r="L3" s="26">
        <f>G3-H3-I3-E3-N3-P3+F3</f>
        <v/>
      </c>
      <c r="M3" s="13">
        <f>L3/G3</f>
        <v/>
      </c>
      <c r="N3" s="26">
        <f>(D3+J3)*K3*$D$1</f>
        <v/>
      </c>
      <c r="P3" s="26">
        <f>G3*$U$1</f>
        <v/>
      </c>
    </row>
    <row r="4">
      <c r="A4">
        <f>D4+J4</f>
        <v/>
      </c>
      <c r="B4" s="17" t="inlineStr">
        <is>
          <t>出品中</t>
        </is>
      </c>
      <c r="C4" s="9" t="n">
        <v>432</v>
      </c>
      <c r="D4">
        <f>INT(C4)+0.98</f>
        <v/>
      </c>
      <c r="E4" s="28" t="n">
        <v>37000</v>
      </c>
      <c r="F4" t="n">
        <v>0</v>
      </c>
      <c r="G4" s="26">
        <f>D4*$D$1</f>
        <v/>
      </c>
      <c r="H4" s="28" t="n">
        <v>2000</v>
      </c>
      <c r="I4" s="26">
        <f>D4*$D$2*$I$2</f>
        <v/>
      </c>
      <c r="J4" t="n">
        <v>0</v>
      </c>
      <c r="K4" s="13">
        <f>$S$1</f>
        <v/>
      </c>
      <c r="L4" s="26">
        <f>G4-H4-I4-E4-N4-P4+F4</f>
        <v/>
      </c>
      <c r="M4" s="13">
        <f>L4/G4</f>
        <v/>
      </c>
      <c r="N4" s="26">
        <f>D4*K4*$D$2</f>
        <v/>
      </c>
      <c r="P4" s="26">
        <f>G4*$U$1</f>
        <v/>
      </c>
    </row>
    <row r="5">
      <c r="A5">
        <f>D5+J5</f>
        <v/>
      </c>
      <c r="B5" s="13" t="n">
        <v>0.05</v>
      </c>
      <c r="C5">
        <f>$C$4*(1-B5)</f>
        <v/>
      </c>
      <c r="D5">
        <f>INT(C5)+0.98</f>
        <v/>
      </c>
      <c r="E5" s="26">
        <f>$E$4</f>
        <v/>
      </c>
      <c r="F5">
        <f>$F$4</f>
        <v/>
      </c>
      <c r="G5" s="26">
        <f>D5*$D$1</f>
        <v/>
      </c>
      <c r="H5" s="26" t="n"/>
      <c r="I5" s="26">
        <f>D5*$D$2*$I$2</f>
        <v/>
      </c>
      <c r="J5" t="n">
        <v>0</v>
      </c>
      <c r="K5" s="13">
        <f>$S$1</f>
        <v/>
      </c>
      <c r="L5" s="26">
        <f>G5-H5-I5-E5-N5-P5+F5</f>
        <v/>
      </c>
      <c r="M5" s="13">
        <f>L5/G5</f>
        <v/>
      </c>
      <c r="N5" s="26">
        <f>D5*K5*$D$2</f>
        <v/>
      </c>
      <c r="P5" s="26">
        <f>G5*$U$1</f>
        <v/>
      </c>
    </row>
    <row r="6">
      <c r="A6">
        <f>D6+J6</f>
        <v/>
      </c>
      <c r="B6" s="13" t="n">
        <v>0.08</v>
      </c>
      <c r="C6">
        <f>$C$4*(1-B6)</f>
        <v/>
      </c>
      <c r="D6">
        <f>INT(C6)+0.98</f>
        <v/>
      </c>
      <c r="E6" s="26">
        <f>$E$4</f>
        <v/>
      </c>
      <c r="F6">
        <f>$F$4</f>
        <v/>
      </c>
      <c r="G6" s="26">
        <f>D6*$D$1</f>
        <v/>
      </c>
      <c r="H6" s="26">
        <f>$H$4</f>
        <v/>
      </c>
      <c r="I6" s="26">
        <f>D6*$D$2*$I$2</f>
        <v/>
      </c>
      <c r="J6" t="n">
        <v>0</v>
      </c>
      <c r="K6" s="13">
        <f>$S$1</f>
        <v/>
      </c>
      <c r="L6" s="26">
        <f>G6-H6-I6-E6-N6-P6+F6</f>
        <v/>
      </c>
      <c r="M6" s="13">
        <f>L6/G6</f>
        <v/>
      </c>
      <c r="N6" s="26">
        <f>D6*K6*$D$2</f>
        <v/>
      </c>
      <c r="P6" s="26">
        <f>G6*$U$1</f>
        <v/>
      </c>
    </row>
    <row r="7">
      <c r="A7">
        <f>D7+J7</f>
        <v/>
      </c>
      <c r="B7" s="13" t="n">
        <v>0.1</v>
      </c>
      <c r="C7">
        <f>$C$4*(1-B7)</f>
        <v/>
      </c>
      <c r="D7">
        <f>INT(C7)+0.98</f>
        <v/>
      </c>
      <c r="E7" s="26">
        <f>$E$4</f>
        <v/>
      </c>
      <c r="F7">
        <f>$F$4</f>
        <v/>
      </c>
      <c r="G7" s="26">
        <f>D7*$D$1</f>
        <v/>
      </c>
      <c r="H7" s="26">
        <f>$H$4</f>
        <v/>
      </c>
      <c r="I7" s="26">
        <f>D7*$D$2*$I$2</f>
        <v/>
      </c>
      <c r="J7" t="n">
        <v>0</v>
      </c>
      <c r="K7" s="13">
        <f>$S$1</f>
        <v/>
      </c>
      <c r="L7" s="26">
        <f>G7-H7-I7-E7-N7-P7+F7</f>
        <v/>
      </c>
      <c r="M7" s="13">
        <f>L7/G7</f>
        <v/>
      </c>
      <c r="N7" s="26">
        <f>D7*K7*$D$2</f>
        <v/>
      </c>
      <c r="P7" s="26">
        <f>G7*$U$1</f>
        <v/>
      </c>
    </row>
    <row r="8">
      <c r="A8">
        <f>D8+J8</f>
        <v/>
      </c>
      <c r="B8" s="13" t="n">
        <v>0.15</v>
      </c>
      <c r="C8">
        <f>$C$4*(1-B8)</f>
        <v/>
      </c>
      <c r="D8">
        <f>INT(C8)+0.98</f>
        <v/>
      </c>
      <c r="E8" s="26">
        <f>$E$4</f>
        <v/>
      </c>
      <c r="F8">
        <f>$F$4</f>
        <v/>
      </c>
      <c r="G8" s="26">
        <f>D8*$D$1</f>
        <v/>
      </c>
      <c r="H8" s="26">
        <f>$H$4</f>
        <v/>
      </c>
      <c r="I8" s="26">
        <f>D8*$D$2*$I$2</f>
        <v/>
      </c>
      <c r="J8" t="n">
        <v>0</v>
      </c>
      <c r="K8" s="13">
        <f>$S$1</f>
        <v/>
      </c>
      <c r="L8" s="26">
        <f>G8-H8-I8-E8-N8-P8+F8</f>
        <v/>
      </c>
      <c r="M8" s="13">
        <f>L8/G8</f>
        <v/>
      </c>
      <c r="N8" s="26">
        <f>D8*K8*$D$2</f>
        <v/>
      </c>
      <c r="P8" s="26">
        <f>G8*$U$1</f>
        <v/>
      </c>
    </row>
    <row r="9">
      <c r="I9">
        <f>D9*$D$2*$I$2</f>
        <v/>
      </c>
      <c r="J9" t="n">
        <v>0</v>
      </c>
      <c r="N9">
        <f>D9*K9*$D$2</f>
        <v/>
      </c>
    </row>
    <row r="11">
      <c r="A11">
        <f>D11+J11</f>
        <v/>
      </c>
      <c r="B11" s="7" t="inlineStr">
        <is>
          <t>オファー価格</t>
        </is>
      </c>
      <c r="C11">
        <f>J18</f>
        <v/>
      </c>
      <c r="D11">
        <f>INT(C11)+0.98</f>
        <v/>
      </c>
      <c r="E11" s="26">
        <f>$E$4</f>
        <v/>
      </c>
      <c r="F11">
        <f>$F$4</f>
        <v/>
      </c>
      <c r="G11" s="26">
        <f>D11*$D$1</f>
        <v/>
      </c>
      <c r="H11" s="26">
        <f>$H$4</f>
        <v/>
      </c>
      <c r="I11" s="26">
        <f>((D11+J11)*$D$1)*$I$1</f>
        <v/>
      </c>
      <c r="J11">
        <f>_xlfn.IFS(D11&gt;=800,260,D11&gt;=600,210,D11&gt;=500,155,D11&gt;=400,130,D11&gt;=300,105,D11&gt;=200,75,D11&gt;=100,50,D11&gt;=60,30,D11&gt;=40,20,D11&lt;40,15)</f>
        <v/>
      </c>
      <c r="K11" s="13">
        <f>$S$1</f>
        <v/>
      </c>
      <c r="L11" s="26">
        <f>G11-H11-I11-E11-N11-P11+F11</f>
        <v/>
      </c>
      <c r="M11" s="13">
        <f>L11/G11</f>
        <v/>
      </c>
      <c r="N11" s="26">
        <f>(D11+J11)*K11*$D$1</f>
        <v/>
      </c>
      <c r="P11" s="26">
        <f>G11*$U$1</f>
        <v/>
      </c>
    </row>
    <row r="12">
      <c r="A12">
        <f>D12+J12</f>
        <v/>
      </c>
      <c r="B12" t="inlineStr">
        <is>
          <t>試算用</t>
        </is>
      </c>
      <c r="C12" s="9" t="n">
        <v>240</v>
      </c>
      <c r="D12">
        <f>INT(C12)+0.98</f>
        <v/>
      </c>
      <c r="E12" s="26">
        <f>$E$4</f>
        <v/>
      </c>
      <c r="F12">
        <f>$F$4</f>
        <v/>
      </c>
      <c r="G12" s="26">
        <f>D12*$D$1</f>
        <v/>
      </c>
      <c r="H12" s="26">
        <f>$H$4</f>
        <v/>
      </c>
      <c r="I12" s="26">
        <f>D12*$D$2*$I$2</f>
        <v/>
      </c>
      <c r="J12" t="n">
        <v>0</v>
      </c>
      <c r="K12" s="13">
        <f>$S$1</f>
        <v/>
      </c>
      <c r="L12" s="26">
        <f>G12-H12-I12-E12-N12-P12+F12</f>
        <v/>
      </c>
      <c r="M12" s="13">
        <f>L12/G12</f>
        <v/>
      </c>
      <c r="N12" s="26">
        <f>D12*K12*$D$2</f>
        <v/>
      </c>
      <c r="P12" s="26">
        <f>G12*$U$1</f>
        <v/>
      </c>
    </row>
    <row r="13">
      <c r="I13">
        <f>D13*$D$2*$I$2</f>
        <v/>
      </c>
      <c r="J13" t="n">
        <v>0</v>
      </c>
      <c r="N13">
        <f>D13*K13*$D$2</f>
        <v/>
      </c>
    </row>
    <row r="15">
      <c r="C15" s="1" t="inlineStr">
        <is>
          <t>■ カテゴリ別参考価格 (/140 参考レート基準)</t>
        </is>
      </c>
    </row>
    <row r="16">
      <c r="D16" s="18" t="inlineStr">
        <is>
          <t>手数料</t>
        </is>
      </c>
      <c r="E16" s="18" t="inlineStr">
        <is>
          <t>実送料</t>
        </is>
      </c>
      <c r="H16" s="18" t="inlineStr">
        <is>
          <t>仕入</t>
        </is>
      </c>
      <c r="I16" s="18" t="inlineStr">
        <is>
          <t>SS</t>
        </is>
      </c>
      <c r="J16" s="18" t="inlineStr">
        <is>
          <t>A</t>
        </is>
      </c>
      <c r="K16" s="18" t="inlineStr">
        <is>
          <t>B</t>
        </is>
      </c>
      <c r="L16" s="18" t="inlineStr">
        <is>
          <t>C</t>
        </is>
      </c>
      <c r="M16" s="18" t="inlineStr">
        <is>
          <t>D</t>
        </is>
      </c>
      <c r="N16" s="18" t="inlineStr">
        <is>
          <t>E</t>
        </is>
      </c>
      <c r="O16" s="18" t="inlineStr">
        <is>
          <t>E2</t>
        </is>
      </c>
    </row>
    <row r="17">
      <c r="C17" t="inlineStr">
        <is>
          <t>TCG(PSA10)</t>
        </is>
      </c>
      <c r="D17" s="13" t="n">
        <v>0.1325</v>
      </c>
      <c r="E17" s="26" t="n">
        <v>2000</v>
      </c>
      <c r="H17" s="26">
        <f>E4</f>
        <v/>
      </c>
      <c r="I17">
        <f>ROUNDDOWN(((H17+E17+5000)/(1-(D17+0.02+$K$1)-$S$1-$U$1))/140,0)+0.98</f>
        <v/>
      </c>
      <c r="J17">
        <f>ROUNDDOWN(((H17+E17+4000)/(1-(D17+0.02+$K$1)-$S$1-$U$1))/140,0)+0.98</f>
        <v/>
      </c>
      <c r="K17">
        <f>ROUNDDOWN(((H17+E17+3000)/(1-(D17+0.02+$K$1)-$S$1-$U$1))/140,0)+0.98</f>
        <v/>
      </c>
      <c r="L17">
        <f>ROUNDDOWN(((H17+E17+2000)/(1-(D17+0.02+$K$1)-$S$1-$U$1))/140,0)+0.98</f>
        <v/>
      </c>
      <c r="M17">
        <f>ROUNDDOWN(((H17+E17+1000)/(1-(D17+0.02+$K$1)-$S$1-$U$1))/140,0)+0.98</f>
        <v/>
      </c>
      <c r="N17">
        <f>ROUNDDOWN(((H17+E17+500)/(1-(D17+0.02+$K$1)-$S$1-$U$1))/140,0)+0.98</f>
        <v/>
      </c>
      <c r="O17">
        <f>ROUNDDOWN(((H17+E17+0)/(1-(D17+0.02+$K$1)-$S$1-$U$1))/140,0)+0.98</f>
        <v/>
      </c>
    </row>
    <row r="18">
      <c r="C18" t="inlineStr">
        <is>
          <t>Tシャツ/Montbell一般</t>
        </is>
      </c>
      <c r="D18" s="13" t="n">
        <v>0.153</v>
      </c>
      <c r="E18" s="26" t="n">
        <v>2000</v>
      </c>
      <c r="H18" s="26">
        <f>E4</f>
        <v/>
      </c>
      <c r="I18">
        <f>ROUNDDOWN(((H18+E18+5000)/(1-(D18+0.02+$K$1)-$S$1-$U$1))/140,0)+0.98</f>
        <v/>
      </c>
      <c r="J18">
        <f>ROUNDDOWN(((H18+E18+4000)/(1-(D18+0.02+$K$1)-$S$1-$U$1))/140,0)+0.98</f>
        <v/>
      </c>
      <c r="K18">
        <f>ROUNDDOWN(((H18+E18+3000)/(1-(D18+0.02+$K$1)-$S$1-$U$1))/140,0)+0.98</f>
        <v/>
      </c>
      <c r="L18">
        <f>ROUNDDOWN(((H18+E18+2000)/(1-(D18+0.02+$K$1)-$S$1-$U$1))/140,0)+0.98</f>
        <v/>
      </c>
      <c r="M18">
        <f>ROUNDDOWN(((H18+E18+1000)/(1-(D18+0.02+$K$1)-$S$1-$U$1))/140,0)+0.98</f>
        <v/>
      </c>
      <c r="N18">
        <f>ROUNDDOWN(((H18+E18+500)/(1-(D18+0.02+$K$1)-$S$1-$U$1))/140,0)+0.98</f>
        <v/>
      </c>
      <c r="O18">
        <f>ROUNDDOWN(((H18+E18+0)/(1-(D18+0.02+$K$1)-$S$1-$U$1))/140,0)+0.98</f>
        <v/>
      </c>
    </row>
    <row r="19">
      <c r="C19" t="inlineStr">
        <is>
          <t>フィギュア</t>
        </is>
      </c>
      <c r="D19" s="13" t="n">
        <v>0.1325</v>
      </c>
      <c r="E19" s="26" t="n">
        <v>3500</v>
      </c>
      <c r="H19" s="26">
        <f>E4</f>
        <v/>
      </c>
      <c r="I19">
        <f>ROUNDDOWN(((H19+E19+5000)/(1-(D19+0.02+$K$1)-$S$1-$U$1))/140,0)+0.98</f>
        <v/>
      </c>
      <c r="J19">
        <f>ROUNDDOWN(((H19+E19+4000)/(1-(D19+0.02+$K$1)-$S$1-$U$1))/140,0)+0.98</f>
        <v/>
      </c>
      <c r="K19">
        <f>ROUNDDOWN(((H19+E19+3000)/(1-(D19+0.02+$K$1)-$S$1-$U$1))/140,0)+0.98</f>
        <v/>
      </c>
      <c r="L19">
        <f>ROUNDDOWN(((H19+E19+2000)/(1-(D19+0.02+$K$1)-$S$1-$U$1))/140,0)+0.98</f>
        <v/>
      </c>
      <c r="M19">
        <f>ROUNDDOWN(((H19+E19+1000)/(1-(D19+0.02+$K$1)-$S$1-$U$1))/140,0)+0.98</f>
        <v/>
      </c>
      <c r="N19">
        <f>ROUNDDOWN(((H19+E19+500)/(1-(D19+0.02+$K$1)-$S$1-$U$1))/140,0)+0.98</f>
        <v/>
      </c>
      <c r="O19">
        <f>ROUNDDOWN(((H19+E19+0)/(1-(D19+0.02+$K$1)-$S$1-$U$1))/140,0)+0.98</f>
        <v/>
      </c>
    </row>
    <row r="20">
      <c r="C20" t="inlineStr">
        <is>
          <t>G-SHOCK</t>
        </is>
      </c>
      <c r="D20" s="13" t="n">
        <v>0.1325</v>
      </c>
      <c r="E20" s="26" t="n">
        <v>2000</v>
      </c>
      <c r="H20" s="26">
        <f>E4</f>
        <v/>
      </c>
      <c r="I20">
        <f>ROUNDDOWN(((H20+E20+5000)/(1-(D20+0.02+$K$1)-$S$1-$U$1))/140,0)+0.98</f>
        <v/>
      </c>
      <c r="J20">
        <f>ROUNDDOWN(((H20+E20+4000)/(1-(D20+0.02+$K$1)-$S$1-$U$1))/140,0)+0.98</f>
        <v/>
      </c>
      <c r="K20">
        <f>ROUNDDOWN(((H20+E20+3000)/(1-(D20+0.02+$K$1)-$S$1-$U$1))/140,0)+0.98</f>
        <v/>
      </c>
      <c r="L20">
        <f>ROUNDDOWN(((H20+E20+2000)/(1-(D20+0.02+$K$1)-$S$1-$U$1))/140,0)+0.98</f>
        <v/>
      </c>
      <c r="M20">
        <f>ROUNDDOWN(((H20+E20+1000)/(1-(D20+0.02+$K$1)-$S$1-$U$1))/140,0)+0.98</f>
        <v/>
      </c>
      <c r="N20">
        <f>ROUNDDOWN(((H20+E20+500)/(1-(D20+0.02+$K$1)-$S$1-$U$1))/140,0)+0.98</f>
        <v/>
      </c>
      <c r="O20">
        <f>ROUNDDOWN(((H20+E20+0)/(1-(D20+0.02+$K$1)-$S$1-$U$1))/140,0)+0.98</f>
        <v/>
      </c>
    </row>
    <row r="21">
      <c r="C21" t="inlineStr">
        <is>
          <t>Montbell(ジャケット)</t>
        </is>
      </c>
      <c r="D21" s="13" t="n">
        <v>0.153</v>
      </c>
      <c r="E21" s="26" t="n">
        <v>4500</v>
      </c>
      <c r="H21" s="26">
        <f>E4</f>
        <v/>
      </c>
      <c r="I21">
        <f>ROUNDDOWN(((H21+E21+5000)/(1-(D21+0.02+$K$1)-$S$1-$U$1))/140,0)+0.98</f>
        <v/>
      </c>
      <c r="J21">
        <f>ROUNDDOWN(((H21+E21+4000)/(1-(D21+0.02+$K$1)-$S$1-$U$1))/140,0)+0.98</f>
        <v/>
      </c>
      <c r="K21">
        <f>ROUNDDOWN(((H21+E21+3000)/(1-(D21+0.02+$K$1)-$S$1-$U$1))/140,0)+0.98</f>
        <v/>
      </c>
      <c r="L21">
        <f>ROUNDDOWN(((H21+E21+2000)/(1-(D21+0.02+$K$1)-$S$1-$U$1))/140,0)+0.98</f>
        <v/>
      </c>
      <c r="M21">
        <f>ROUNDDOWN(((H21+E21+1000)/(1-(D21+0.02+$K$1)-$S$1-$U$1))/140,0)+0.98</f>
        <v/>
      </c>
      <c r="N21">
        <f>ROUNDDOWN(((H21+E21+500)/(1-(D21+0.02+$K$1)-$S$1-$U$1))/140,0)+0.98</f>
        <v/>
      </c>
      <c r="O21">
        <f>ROUNDDOWN(((H21+E21+0)/(1-(D21+0.02+$K$1)-$S$1-$U$1))/140,0)+0.98</f>
        <v/>
      </c>
    </row>
    <row r="23">
      <c r="C23" s="10" t="inlineStr">
        <is>
          <t>※ /140 は意図的な参考レート (C4で手動調整する運用)</t>
        </is>
      </c>
    </row>
    <row r="24">
      <c r="C24" s="10" t="inlineStr">
        <is>
          <t>※ net_ratio = 1 - 手数料 - プロモ - Payo で国別自動補正済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2026-04-12T00:52:00Z</dcterms:created>
  <dcterms:modified xmlns:dcterms="http://purl.org/dc/terms/" xmlns:xsi="http://www.w3.org/2001/XMLSchema-instance" xsi:type="dcterms:W3CDTF">2026-04-19T05:10:09Z</dcterms:modified>
  <cp:lastModifiedBy>imax2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1041-11.8.2.8531</vt:lpwstr>
  </property>
</Properties>
</file>