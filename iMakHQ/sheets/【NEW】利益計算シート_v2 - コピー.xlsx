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488" windowHeight="6287" activeTab="1"/>
  </bookViews>
  <sheets>
    <sheet name="設定" sheetId="1" r:id="rId1"/>
    <sheet name="US計算" sheetId="2" r:id="rId2"/>
    <sheet name="UK計算" sheetId="3" r:id="rId3"/>
    <sheet name="AU計算" sheetId="4" r:id="rId4"/>
    <sheet name="仕入GATE" sheetId="5" r:id="rId5"/>
    <sheet name="変更履歴" sheetId="6" r:id="rId6"/>
  </sheets>
  <calcPr calcId="144525"/>
</workbook>
</file>

<file path=xl/sharedStrings.xml><?xml version="1.0" encoding="utf-8"?>
<sst xmlns="http://schemas.openxmlformats.org/spreadsheetml/2006/main" count="330" uniqueCount="203">
  <si>
    <t>■ 共通設定</t>
  </si>
  <si>
    <t>為替レート (USD→JPY)</t>
  </si>
  <si>
    <t>Google Sheetsで自動更新 / Excelではフォールバック159.245</t>
  </si>
  <si>
    <t>実効プロモ率</t>
  </si>
  <si>
    <t>販売実績実測5.82% → 6%(保守的round up)。旧11%から修正</t>
  </si>
  <si>
    <t>ペイオニア手数料率</t>
  </si>
  <si>
    <t>FXマークアップ+銀行出金の合算推定 (新規追加)</t>
  </si>
  <si>
    <t>目標最低利益率</t>
  </si>
  <si>
    <t>仕入GATE判定の閾値</t>
  </si>
  <si>
    <t>■ 国別eBay実効手数料率</t>
  </si>
  <si>
    <t>国</t>
  </si>
  <si>
    <t>実効率</t>
  </si>
  <si>
    <t>備考(実測値)</t>
  </si>
  <si>
    <t>US</t>
  </si>
  <si>
    <t>実測18.53%</t>
  </si>
  <si>
    <t>UK</t>
  </si>
  <si>
    <t>実測22.55% (VAT関連)</t>
  </si>
  <si>
    <t>AU</t>
  </si>
  <si>
    <t>実測14.88%</t>
  </si>
  <si>
    <t>EU</t>
  </si>
  <si>
    <t>US相当想定</t>
  </si>
  <si>
    <t>その他</t>
  </si>
  <si>
    <t>平均想定</t>
  </si>
  <si>
    <t>■ カテゴリ設定</t>
  </si>
  <si>
    <t>カテゴリ名</t>
  </si>
  <si>
    <t>公式FVF</t>
  </si>
  <si>
    <t>実送料(JPY)</t>
  </si>
  <si>
    <t>備考</t>
  </si>
  <si>
    <t>TCG(PSA10)</t>
  </si>
  <si>
    <t>新カテゴリ・データ蓄積中</t>
  </si>
  <si>
    <t>G-SHOCK</t>
  </si>
  <si>
    <t>年11件・黒字率73%</t>
  </si>
  <si>
    <t>Tシャツ(UT)</t>
  </si>
  <si>
    <t>★主力 年33件・黒字率91%</t>
  </si>
  <si>
    <t>Montbell(一般)</t>
  </si>
  <si>
    <t>バッグ小物・非アウター</t>
  </si>
  <si>
    <t>Montbell(ジャケット)</t>
  </si>
  <si>
    <t>嵩張り注意・送料厚め</t>
  </si>
  <si>
    <t>一番くじ</t>
  </si>
  <si>
    <t>新・実測調整中</t>
  </si>
  <si>
    <t>フィギュア</t>
  </si>
  <si>
    <t/>
  </si>
  <si>
    <t>ユニクロ(非UT)</t>
  </si>
  <si>
    <t>サンリオ文具</t>
  </si>
  <si>
    <t>ヴィンテージ玩具</t>
  </si>
  <si>
    <t>トミカ</t>
  </si>
  <si>
    <t>POPMart</t>
  </si>
  <si>
    <t>ガシャポン</t>
  </si>
  <si>
    <t>ダイソー</t>
  </si>
  <si>
    <t>薄利注意</t>
  </si>
  <si>
    <t>バッグ(アネロ)</t>
  </si>
  <si>
    <t>サンリオぬいぐるみ</t>
  </si>
  <si>
    <t>■ eBay公式 FVF 参考値 (2026)</t>
  </si>
  <si>
    <t>※ 参考情報のみ。主計算には国別実効率(B9-B13)を使用中</t>
  </si>
  <si>
    <t>カテゴリグループ</t>
  </si>
  <si>
    <t>+共通費</t>
  </si>
  <si>
    <t>TCG/Toys/Collectibles系</t>
  </si>
  <si>
    <t>TCG/G-SHOCK/一番くじ/フィギュア/トミカ/ガチャ等</t>
  </si>
  <si>
    <t>Clothing Shoes &amp; Accessories</t>
  </si>
  <si>
    <t>UT/ユニクロ/Montbell(全)/バッグ(アネロ)</t>
  </si>
  <si>
    <t>■ 共通プラットフォーム費 (内訳)</t>
  </si>
  <si>
    <t>International fee (国際料)</t>
  </si>
  <si>
    <t>日本→海外クロスボーダー販売に常時</t>
  </si>
  <si>
    <t>Regulatory operating fee</t>
  </si>
  <si>
    <t>静的な規制手数料</t>
  </si>
  <si>
    <t>合計 (カテゴリFVFに加算)</t>
  </si>
  <si>
    <t>大半のクロスボーダー販売で常時加算</t>
  </si>
  <si>
    <t>Per order fee ≤$10</t>
  </si>
  <si>
    <t>$0.30 固定</t>
  </si>
  <si>
    <t>Per order fee &gt;$10</t>
  </si>
  <si>
    <t>$0.40 固定</t>
  </si>
  <si>
    <t>■ 国別補正 (公式vs実測の差)</t>
  </si>
  <si>
    <t>公式(Clothing)</t>
  </si>
  <si>
    <t>実測</t>
  </si>
  <si>
    <t>差 (VAT/不明分)</t>
  </si>
  <si>
    <t>+1.23% (ほぼ誤差)</t>
  </si>
  <si>
    <t>+5.25% ⚠ VAT handling 由来と推定</t>
  </si>
  <si>
    <t>-2.42% (GST構造差)</t>
  </si>
  <si>
    <t>出典: eBay公式 (Selling Fees / International Fees ページ, 2026年)</t>
  </si>
  <si>
    <t>為替</t>
  </si>
  <si>
    <t>カテゴリ</t>
  </si>
  <si>
    <t>手数料率</t>
  </si>
  <si>
    <t>国別補正</t>
  </si>
  <si>
    <t>プロモ</t>
  </si>
  <si>
    <t>Payo</t>
  </si>
  <si>
    <t>送料込み</t>
  </si>
  <si>
    <t>割引率</t>
  </si>
  <si>
    <t>出品価格($)</t>
  </si>
  <si>
    <t>仕入(¥)</t>
  </si>
  <si>
    <t>ポイント還元</t>
  </si>
  <si>
    <t>売上(¥)</t>
  </si>
  <si>
    <t>実送料(¥)</t>
  </si>
  <si>
    <t>eBay手数料(¥)</t>
  </si>
  <si>
    <t>DDP送料($)</t>
  </si>
  <si>
    <t>プロモ率</t>
  </si>
  <si>
    <t>利益(¥)</t>
  </si>
  <si>
    <t>利益率</t>
  </si>
  <si>
    <t>プロモ費(¥)</t>
  </si>
  <si>
    <t>Payo費(¥)</t>
  </si>
  <si>
    <t>推奨</t>
  </si>
  <si>
    <t>出品中</t>
  </si>
  <si>
    <t>オファー価格</t>
  </si>
  <si>
    <t>試算用</t>
  </si>
  <si>
    <t>■ カテゴリ別参考価格 (/140 参考レート基準)</t>
  </si>
  <si>
    <t>手数料</t>
  </si>
  <si>
    <t>実送料</t>
  </si>
  <si>
    <t>仕入</t>
  </si>
  <si>
    <t>SS</t>
  </si>
  <si>
    <t>A</t>
  </si>
  <si>
    <t>B</t>
  </si>
  <si>
    <t>C</t>
  </si>
  <si>
    <t>D</t>
  </si>
  <si>
    <t>E</t>
  </si>
  <si>
    <t>E2</t>
  </si>
  <si>
    <t>Tシャツ/Montbell一般</t>
  </si>
  <si>
    <t>※ /140 は意図的な参考レート (C4で手動調整する運用)</t>
  </si>
  <si>
    <t>※ net_ratio = 1 - 手数料 - プロモ - Payo で国別自動補正済</t>
  </si>
  <si>
    <t>■ 仕入GATE 判定</t>
  </si>
  <si>
    <t>【入力】</t>
  </si>
  <si>
    <t>仕入値(JPY)</t>
  </si>
  <si>
    <t>設定シートのカテゴリ名を正確に入力 (大文字小文字/括弧まで一致)</t>
  </si>
  <si>
    <t>対象国</t>
  </si>
  <si>
    <t>US / UK / AU / EU / その他</t>
  </si>
  <si>
    <t>eBay SOLD中央値($)</t>
  </si>
  <si>
    <t>直近30日・類似品のSOLD中央値を手動入力</t>
  </si>
  <si>
    <t>【参照値(自動)】</t>
  </si>
  <si>
    <t>参照送料(¥)</t>
  </si>
  <si>
    <t>国別手数料率</t>
  </si>
  <si>
    <t>ペイオニア率</t>
  </si>
  <si>
    <t>目標利益率</t>
  </si>
  <si>
    <t>為替レート</t>
  </si>
  <si>
    <t>【計算】</t>
  </si>
  <si>
    <t>損益分岐 最低$</t>
  </si>
  <si>
    <t>この価格で売れば利益ゼロ</t>
  </si>
  <si>
    <t>目標確保 下限$</t>
  </si>
  <si>
    <t>目標利益率を満たす最低eBay価格</t>
  </si>
  <si>
    <t>【GATE判定】</t>
  </si>
  <si>
    <t>判定</t>
  </si>
  <si>
    <t>条件: SOLD中央値×90% ≥ 目標確保下限$</t>
  </si>
  <si>
    <t>期待売価($)</t>
  </si>
  <si>
    <t>SOLD中央値×95% (市場より少し安く設定)</t>
  </si>
  <si>
    <t>期待利益(¥)</t>
  </si>
  <si>
    <t>期待利益率</t>
  </si>
  <si>
    <t>■ 使い方</t>
  </si>
  <si>
    <t>1. メルカリで候補を見つけたら 仕入値(B4) を入力</t>
  </si>
  <si>
    <t>2. カテゴリ(B5)・対象国(B6)を選択 → 送料・手数料が自動入力</t>
  </si>
  <si>
    <t>3. 目標確保下限$(B19) が出る = この価格以上で売らないと目標利益が出ない</t>
  </si>
  <si>
    <t>4. eBay で同等商品のSOLD中央値を調べて B7 に入力</t>
  </si>
  <si>
    <t>5. GATE判定(B22) を確認:</t>
  </si>
  <si>
    <t xml:space="preserve">   ✅ GO → 出品する価値あり (市場価格が目標下限を満たす)</t>
  </si>
  <si>
    <t xml:space="preserve">   ❌ NOGO → 市場価格がコストプラス目標に届かない。見送り推奨</t>
  </si>
  <si>
    <t>※ 判定条件は 中央値×90% ≥ 目標下限$。90%の理由: 出品価格を市場より</t>
  </si>
  <si>
    <t xml:space="preserve">   少し安く設定して成約率を上げるため。攻めたいなら 0.95 等に調整可</t>
  </si>
  <si>
    <t>※ DDP送料・割引分は未考慮のシンプル版</t>
  </si>
  <si>
    <t>※ Phase2 で iMakeBayAPI 経由で SOLD中央値を自動取得予定</t>
  </si>
  <si>
    <t>■ 変更履歴 (旧【NEW】利益計算シート.xlsx からの差分)</t>
  </si>
  <si>
    <t>区分</t>
  </si>
  <si>
    <t>内容</t>
  </si>
  <si>
    <t>理由・備考</t>
  </si>
  <si>
    <t>修正</t>
  </si>
  <si>
    <t>プロモ率 0.11 → 0.06</t>
  </si>
  <si>
    <t>販売実績実測 5.82%(保守的にround up)</t>
  </si>
  <si>
    <t>国別手数料率を分離 (US18.5 / UK22.5 / AU15.0)</t>
  </si>
  <si>
    <t>実測: US18.53% / UK22.55% / AU14.88%</t>
  </si>
  <si>
    <t>新規</t>
  </si>
  <si>
    <t>ペイオニア手数料 2.5% を独立費目に</t>
  </si>
  <si>
    <t>FX+出金の実コストを顕在化 (隠れ費用の可視化)</t>
  </si>
  <si>
    <t>設定シート (中央制御盤)</t>
  </si>
  <si>
    <t>全パラメータを1箇所集約、全シートから参照</t>
  </si>
  <si>
    <t>仕入GATEシート</t>
  </si>
  <si>
    <t>メルカリ仕入時のGO/NOGO判定 (シンプル版)</t>
  </si>
  <si>
    <t>Montbell(ジャケット) を別カテゴリ化</t>
  </si>
  <si>
    <t>送料4500円で分離 (過去赤字3件が全てジャケット)</t>
  </si>
  <si>
    <t>改善</t>
  </si>
  <si>
    <t>カテゴリ参考価格の後費用率を国別自動補正</t>
  </si>
  <si>
    <t>旧: /0.72 固定 → 新: 1 - 手数料 - プロモ - Payo</t>
  </si>
  <si>
    <t>保持</t>
  </si>
  <si>
    <t>140円/$ ハードコード (I-O 17-21行)</t>
  </si>
  <si>
    <t>意図的参考レート。C4で手動調整運用を尊重</t>
  </si>
  <si>
    <t>eBay手数料 18.5% (US)</t>
  </si>
  <si>
    <t>実測18.37%と一致、TAX/miscバッファ込み構造</t>
  </si>
  <si>
    <t>割引ラダー 5/8/10/15%</t>
  </si>
  <si>
    <t>オファー時・値下げ時の試算用</t>
  </si>
  <si>
    <t>US/UK/AU の3シート分離</t>
  </si>
  <si>
    <t>地域別に手数料率が異なるため</t>
  </si>
  <si>
    <t>推奨行/オファー価格/試算行</t>
  </si>
  <si>
    <t>既存ワークフローを維持</t>
  </si>
  <si>
    <t>作成日</t>
  </si>
  <si>
    <t>2026-04-12</t>
  </si>
  <si>
    <t>作成者</t>
  </si>
  <si>
    <t>Claude (iMakHQ 構想会話内で自動生成)</t>
  </si>
  <si>
    <t>旧ファイル</t>
  </si>
  <si>
    <t>【NEW】利益計算シート.xlsx (同じデスクトップ)</t>
  </si>
  <si>
    <t>戻したい時はそちらを参照</t>
  </si>
  <si>
    <t>追記</t>
  </si>
  <si>
    <t>eBay公式FVF参考値セクションを設定シートに追加</t>
  </si>
  <si>
    <t>TCG/Toys=13.25% / Clothing=15.30% +共通2%。主計算は未接続(参考のみ)</t>
  </si>
  <si>
    <t>カテゴリセレクタ追加 (各計算シート F1)</t>
  </si>
  <si>
    <t>I1 = VLOOKUP(F1, cat table) + 0.02 + 国別補正 で動的計算</t>
  </si>
  <si>
    <t>設定!B17:B32 を公式FVF値に更新 (0.1325 or 0.1530)</t>
  </si>
  <si>
    <t>旧: 手数料参考 (0.135等) → 新: eBay公式 FVF 2026</t>
  </si>
  <si>
    <t>国別補正セル (K1) を各計算シートに追加</t>
  </si>
  <si>
    <t>US:0% / UK:+5% / AU:-2% (VAT/GST関連の実測差を吸収)</t>
  </si>
</sst>
</file>

<file path=xl/styles.xml><?xml version="1.0" encoding="utf-8"?>
<styleSheet xmlns="http://schemas.openxmlformats.org/spreadsheetml/2006/main">
  <numFmts count="7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179" formatCode="&quot;$&quot;#,##0.00"/>
    <numFmt numFmtId="180" formatCode="&quot;\&quot;#,##0"/>
    <numFmt numFmtId="43" formatCode="_ * #,##0.00_ ;_ * \-#,##0.00_ ;_ * &quot;-&quot;??_ ;_ @_ "/>
    <numFmt numFmtId="181" formatCode="#,##0.000"/>
  </numFmts>
  <fonts count="24">
    <font>
      <sz val="11"/>
      <color theme="1"/>
      <name val="ＭＳ Ｐゴシック"/>
      <charset val="134"/>
      <scheme val="minor"/>
    </font>
    <font>
      <b/>
      <sz val="11"/>
      <name val="ＭＳ Ｐゴシック"/>
      <charset val="134"/>
      <scheme val="minor"/>
    </font>
    <font>
      <i/>
      <sz val="9"/>
      <color rgb="FF808080"/>
      <name val="ＭＳ Ｐゴシック"/>
      <charset val="134"/>
      <scheme val="minor"/>
    </font>
    <font>
      <b/>
      <sz val="14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3" fontId="0" fillId="0" borderId="0">
      <alignment vertical="center"/>
    </xf>
    <xf numFmtId="0" fontId="18" fillId="28" borderId="1">
      <alignment vertical="center"/>
    </xf>
    <xf numFmtId="177" fontId="0" fillId="0" borderId="0">
      <alignment vertical="center"/>
    </xf>
    <xf numFmtId="176" fontId="0" fillId="0" borderId="0">
      <alignment vertical="center"/>
    </xf>
    <xf numFmtId="0" fontId="5" fillId="21" borderId="0">
      <alignment vertical="center"/>
    </xf>
    <xf numFmtId="178" fontId="0" fillId="0" borderId="0">
      <alignment vertical="center"/>
    </xf>
    <xf numFmtId="0" fontId="5" fillId="18" borderId="0">
      <alignment vertical="center"/>
    </xf>
    <xf numFmtId="0" fontId="0" fillId="14" borderId="3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9" fillId="27" borderId="0">
      <alignment vertical="center"/>
    </xf>
    <xf numFmtId="0" fontId="20" fillId="0" borderId="0">
      <alignment vertical="center"/>
    </xf>
    <xf numFmtId="0" fontId="17" fillId="26" borderId="0">
      <alignment vertical="center"/>
    </xf>
    <xf numFmtId="0" fontId="16" fillId="0" borderId="0">
      <alignment vertical="center"/>
    </xf>
    <xf numFmtId="0" fontId="21" fillId="0" borderId="7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9" fillId="34" borderId="0">
      <alignment vertical="center"/>
    </xf>
    <xf numFmtId="0" fontId="15" fillId="13" borderId="6">
      <alignment vertical="center"/>
    </xf>
    <xf numFmtId="0" fontId="8" fillId="0" borderId="2">
      <alignment vertical="center"/>
    </xf>
    <xf numFmtId="0" fontId="14" fillId="0" borderId="2">
      <alignment vertical="center"/>
    </xf>
    <xf numFmtId="0" fontId="7" fillId="13" borderId="1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9" fillId="20" borderId="0">
      <alignment vertical="center"/>
    </xf>
    <xf numFmtId="0" fontId="23" fillId="39" borderId="8">
      <alignment vertical="center"/>
    </xf>
    <xf numFmtId="0" fontId="5" fillId="38" borderId="0">
      <alignment vertical="center"/>
    </xf>
    <xf numFmtId="0" fontId="13" fillId="0" borderId="5">
      <alignment vertical="center"/>
    </xf>
    <xf numFmtId="0" fontId="6" fillId="12" borderId="0">
      <alignment vertical="center"/>
    </xf>
    <xf numFmtId="0" fontId="22" fillId="37" borderId="0">
      <alignment vertical="center"/>
    </xf>
    <xf numFmtId="0" fontId="9" fillId="17" borderId="0">
      <alignment vertical="center"/>
    </xf>
    <xf numFmtId="0" fontId="5" fillId="19" borderId="0">
      <alignment vertical="center"/>
    </xf>
    <xf numFmtId="0" fontId="5" fillId="24" borderId="0">
      <alignment vertical="center"/>
    </xf>
    <xf numFmtId="0" fontId="9" fillId="31" borderId="0">
      <alignment vertical="center"/>
    </xf>
    <xf numFmtId="0" fontId="5" fillId="11" borderId="0">
      <alignment vertical="center"/>
    </xf>
    <xf numFmtId="0" fontId="5" fillId="10" borderId="0">
      <alignment vertical="center"/>
    </xf>
    <xf numFmtId="0" fontId="5" fillId="30" borderId="0">
      <alignment vertical="center"/>
    </xf>
    <xf numFmtId="0" fontId="9" fillId="36" borderId="0">
      <alignment vertical="center"/>
    </xf>
    <xf numFmtId="0" fontId="9" fillId="35" borderId="0">
      <alignment vertical="center"/>
    </xf>
    <xf numFmtId="0" fontId="5" fillId="23" borderId="0">
      <alignment vertical="center"/>
    </xf>
    <xf numFmtId="0" fontId="5" fillId="25" borderId="0">
      <alignment vertical="center"/>
    </xf>
    <xf numFmtId="0" fontId="9" fillId="29" borderId="0">
      <alignment vertical="center"/>
    </xf>
    <xf numFmtId="0" fontId="9" fillId="33" borderId="0">
      <alignment vertical="center"/>
    </xf>
    <xf numFmtId="0" fontId="5" fillId="32" borderId="0">
      <alignment vertical="center"/>
    </xf>
    <xf numFmtId="0" fontId="9" fillId="16" borderId="0">
      <alignment vertical="center"/>
    </xf>
    <xf numFmtId="0" fontId="9" fillId="22" borderId="0">
      <alignment vertical="center"/>
    </xf>
    <xf numFmtId="0" fontId="5" fillId="9" borderId="0">
      <alignment vertical="center"/>
    </xf>
    <xf numFmtId="0" fontId="9" fillId="15" borderId="0">
      <alignment vertical="center"/>
    </xf>
  </cellStyleXfs>
  <cellXfs count="2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180" fontId="0" fillId="8" borderId="0" xfId="0" applyNumberFormat="1" applyFill="1"/>
    <xf numFmtId="0" fontId="0" fillId="8" borderId="0" xfId="0" applyFill="1"/>
    <xf numFmtId="0" fontId="2" fillId="0" borderId="0" xfId="0" applyFont="1"/>
    <xf numFmtId="179" fontId="0" fillId="8" borderId="0" xfId="0" applyNumberFormat="1" applyFill="1"/>
    <xf numFmtId="180" fontId="0" fillId="0" borderId="0" xfId="0" applyNumberFormat="1"/>
    <xf numFmtId="10" fontId="0" fillId="0" borderId="0" xfId="0" applyNumberFormat="1"/>
    <xf numFmtId="181" fontId="0" fillId="0" borderId="0" xfId="0" applyNumberFormat="1"/>
    <xf numFmtId="179" fontId="0" fillId="0" borderId="0" xfId="0" applyNumberFormat="1"/>
    <xf numFmtId="0" fontId="3" fillId="0" borderId="0" xfId="0" applyFont="1"/>
    <xf numFmtId="0" fontId="1" fillId="8" borderId="0" xfId="0" applyFont="1" applyFill="1"/>
    <xf numFmtId="0" fontId="1" fillId="3" borderId="0" xfId="0" applyFont="1" applyFill="1" applyAlignment="1">
      <alignment horizontal="center"/>
    </xf>
    <xf numFmtId="10" fontId="0" fillId="8" borderId="0" xfId="0" applyNumberFormat="1" applyFill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180" fontId="4" fillId="0" borderId="0" xfId="0" applyNumberFormat="1" applyFon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workbookViewId="0">
      <selection activeCell="B9" sqref="B9"/>
    </sheetView>
  </sheetViews>
  <sheetFormatPr defaultColWidth="9" defaultRowHeight="13.2" outlineLevelCol="3"/>
  <cols>
    <col min="1" max="1" width="28" customWidth="1"/>
    <col min="2" max="2" width="14" customWidth="1"/>
    <col min="3" max="3" width="18" customWidth="1"/>
    <col min="4" max="4" width="48" customWidth="1"/>
  </cols>
  <sheetData>
    <row r="1" spans="1:1">
      <c r="A1" s="1" t="s">
        <v>0</v>
      </c>
    </row>
    <row r="2" spans="1:4">
      <c r="A2" t="s">
        <v>1</v>
      </c>
      <c r="B2" s="14">
        <f>IFERROR(GOOGLEFINANCE("CURRENCY:USDJPY"),159.245)</f>
        <v>159.245</v>
      </c>
      <c r="D2" s="10" t="s">
        <v>2</v>
      </c>
    </row>
    <row r="3" spans="1:4">
      <c r="A3" t="s">
        <v>3</v>
      </c>
      <c r="B3" s="13">
        <v>0.1</v>
      </c>
      <c r="D3" s="10" t="s">
        <v>4</v>
      </c>
    </row>
    <row r="4" spans="1:4">
      <c r="A4" t="s">
        <v>5</v>
      </c>
      <c r="B4" s="13">
        <v>0.025</v>
      </c>
      <c r="D4" s="10" t="s">
        <v>6</v>
      </c>
    </row>
    <row r="5" spans="1:4">
      <c r="A5" t="s">
        <v>7</v>
      </c>
      <c r="B5" s="13">
        <v>0.1</v>
      </c>
      <c r="D5" s="10" t="s">
        <v>8</v>
      </c>
    </row>
    <row r="7" spans="1:1">
      <c r="A7" s="1" t="s">
        <v>9</v>
      </c>
    </row>
    <row r="8" spans="1:3">
      <c r="A8" s="2" t="s">
        <v>10</v>
      </c>
      <c r="B8" s="2" t="s">
        <v>11</v>
      </c>
      <c r="C8" s="2" t="s">
        <v>12</v>
      </c>
    </row>
    <row r="9" spans="1:3">
      <c r="A9" t="s">
        <v>13</v>
      </c>
      <c r="B9" s="13">
        <v>0.185</v>
      </c>
      <c r="C9" s="10" t="s">
        <v>14</v>
      </c>
    </row>
    <row r="10" spans="1:3">
      <c r="A10" t="s">
        <v>15</v>
      </c>
      <c r="B10" s="13">
        <v>0.225</v>
      </c>
      <c r="C10" s="10" t="s">
        <v>16</v>
      </c>
    </row>
    <row r="11" spans="1:3">
      <c r="A11" t="s">
        <v>17</v>
      </c>
      <c r="B11" s="13">
        <v>0.15</v>
      </c>
      <c r="C11" s="10" t="s">
        <v>18</v>
      </c>
    </row>
    <row r="12" spans="1:3">
      <c r="A12" t="s">
        <v>19</v>
      </c>
      <c r="B12" s="13">
        <v>0.185</v>
      </c>
      <c r="C12" s="10" t="s">
        <v>20</v>
      </c>
    </row>
    <row r="13" spans="1:3">
      <c r="A13" t="s">
        <v>21</v>
      </c>
      <c r="B13" s="13">
        <v>0.18</v>
      </c>
      <c r="C13" s="10" t="s">
        <v>22</v>
      </c>
    </row>
    <row r="15" spans="1:1">
      <c r="A15" s="1" t="s">
        <v>23</v>
      </c>
    </row>
    <row r="16" spans="1:4">
      <c r="A16" s="2" t="s">
        <v>24</v>
      </c>
      <c r="B16" s="2" t="s">
        <v>25</v>
      </c>
      <c r="C16" s="2" t="s">
        <v>26</v>
      </c>
      <c r="D16" s="2" t="s">
        <v>27</v>
      </c>
    </row>
    <row r="17" spans="1:4">
      <c r="A17" t="s">
        <v>28</v>
      </c>
      <c r="B17" s="13">
        <v>0.1325</v>
      </c>
      <c r="C17" s="12">
        <v>2000</v>
      </c>
      <c r="D17" s="10" t="s">
        <v>29</v>
      </c>
    </row>
    <row r="18" spans="1:4">
      <c r="A18" t="s">
        <v>30</v>
      </c>
      <c r="B18" s="13">
        <v>0.1325</v>
      </c>
      <c r="C18" s="12">
        <v>2000</v>
      </c>
      <c r="D18" s="10" t="s">
        <v>31</v>
      </c>
    </row>
    <row r="19" spans="1:4">
      <c r="A19" t="s">
        <v>32</v>
      </c>
      <c r="B19" s="13">
        <v>0.153</v>
      </c>
      <c r="C19" s="12">
        <v>2000</v>
      </c>
      <c r="D19" s="10" t="s">
        <v>33</v>
      </c>
    </row>
    <row r="20" spans="1:4">
      <c r="A20" t="s">
        <v>34</v>
      </c>
      <c r="B20" s="13">
        <v>0.153</v>
      </c>
      <c r="C20" s="12">
        <v>2000</v>
      </c>
      <c r="D20" s="10" t="s">
        <v>35</v>
      </c>
    </row>
    <row r="21" spans="1:4">
      <c r="A21" t="s">
        <v>36</v>
      </c>
      <c r="B21" s="13">
        <v>0.153</v>
      </c>
      <c r="C21" s="12">
        <v>4500</v>
      </c>
      <c r="D21" s="10" t="s">
        <v>37</v>
      </c>
    </row>
    <row r="22" spans="1:4">
      <c r="A22" t="s">
        <v>38</v>
      </c>
      <c r="B22" s="13">
        <v>0.1325</v>
      </c>
      <c r="C22" s="12">
        <v>2500</v>
      </c>
      <c r="D22" s="10" t="s">
        <v>39</v>
      </c>
    </row>
    <row r="23" spans="1:4">
      <c r="A23" t="s">
        <v>40</v>
      </c>
      <c r="B23" s="13">
        <v>0.1325</v>
      </c>
      <c r="C23" s="12">
        <v>3500</v>
      </c>
      <c r="D23" s="10" t="s">
        <v>41</v>
      </c>
    </row>
    <row r="24" spans="1:4">
      <c r="A24" t="s">
        <v>42</v>
      </c>
      <c r="B24" s="13">
        <v>0.153</v>
      </c>
      <c r="C24" s="12">
        <v>2000</v>
      </c>
      <c r="D24" s="10" t="s">
        <v>41</v>
      </c>
    </row>
    <row r="25" spans="1:4">
      <c r="A25" t="s">
        <v>43</v>
      </c>
      <c r="B25" s="13">
        <v>0.1325</v>
      </c>
      <c r="C25" s="12">
        <v>2000</v>
      </c>
      <c r="D25" s="10" t="s">
        <v>41</v>
      </c>
    </row>
    <row r="26" spans="1:4">
      <c r="A26" t="s">
        <v>44</v>
      </c>
      <c r="B26" s="13">
        <v>0.1325</v>
      </c>
      <c r="C26" s="12">
        <v>2500</v>
      </c>
      <c r="D26" s="10" t="s">
        <v>41</v>
      </c>
    </row>
    <row r="27" spans="1:4">
      <c r="A27" t="s">
        <v>45</v>
      </c>
      <c r="B27" s="13">
        <v>0.1325</v>
      </c>
      <c r="C27" s="12">
        <v>2000</v>
      </c>
      <c r="D27" s="10" t="s">
        <v>41</v>
      </c>
    </row>
    <row r="28" spans="1:4">
      <c r="A28" t="s">
        <v>46</v>
      </c>
      <c r="B28" s="13">
        <v>0.1325</v>
      </c>
      <c r="C28" s="12">
        <v>2500</v>
      </c>
      <c r="D28" s="10" t="s">
        <v>41</v>
      </c>
    </row>
    <row r="29" spans="1:4">
      <c r="A29" t="s">
        <v>47</v>
      </c>
      <c r="B29" s="13">
        <v>0.1325</v>
      </c>
      <c r="C29" s="12">
        <v>2000</v>
      </c>
      <c r="D29" s="10" t="s">
        <v>41</v>
      </c>
    </row>
    <row r="30" spans="1:4">
      <c r="A30" t="s">
        <v>48</v>
      </c>
      <c r="B30" s="13">
        <v>0.1325</v>
      </c>
      <c r="C30" s="12">
        <v>2000</v>
      </c>
      <c r="D30" s="10" t="s">
        <v>49</v>
      </c>
    </row>
    <row r="31" spans="1:4">
      <c r="A31" t="s">
        <v>50</v>
      </c>
      <c r="B31" s="13">
        <v>0.153</v>
      </c>
      <c r="C31" s="12">
        <v>2500</v>
      </c>
      <c r="D31" s="10" t="s">
        <v>41</v>
      </c>
    </row>
    <row r="32" spans="1:4">
      <c r="A32" t="s">
        <v>51</v>
      </c>
      <c r="B32" s="13">
        <v>0.1325</v>
      </c>
      <c r="C32" s="12">
        <v>2500</v>
      </c>
      <c r="D32" s="10" t="s">
        <v>41</v>
      </c>
    </row>
    <row r="34" spans="1:1">
      <c r="A34" s="1" t="s">
        <v>52</v>
      </c>
    </row>
    <row r="35" spans="1:1">
      <c r="A35" s="10" t="s">
        <v>53</v>
      </c>
    </row>
    <row r="37" spans="1:4">
      <c r="A37" s="2" t="s">
        <v>54</v>
      </c>
      <c r="B37" s="2" t="s">
        <v>25</v>
      </c>
      <c r="C37" s="2" t="s">
        <v>55</v>
      </c>
      <c r="D37" s="2" t="s">
        <v>27</v>
      </c>
    </row>
    <row r="38" spans="1:4">
      <c r="A38" t="s">
        <v>56</v>
      </c>
      <c r="B38" s="13">
        <v>0.1325</v>
      </c>
      <c r="C38" s="13">
        <v>0.1525</v>
      </c>
      <c r="D38" s="10" t="s">
        <v>57</v>
      </c>
    </row>
    <row r="39" spans="1:4">
      <c r="A39" t="s">
        <v>58</v>
      </c>
      <c r="B39" s="13">
        <v>0.153</v>
      </c>
      <c r="C39" s="13">
        <v>0.173</v>
      </c>
      <c r="D39" s="10" t="s">
        <v>59</v>
      </c>
    </row>
    <row r="41" spans="1:1">
      <c r="A41" s="1" t="s">
        <v>60</v>
      </c>
    </row>
    <row r="42" spans="1:4">
      <c r="A42" t="s">
        <v>61</v>
      </c>
      <c r="B42" s="13">
        <v>0.0165</v>
      </c>
      <c r="D42" s="10" t="s">
        <v>62</v>
      </c>
    </row>
    <row r="43" spans="1:4">
      <c r="A43" t="s">
        <v>63</v>
      </c>
      <c r="B43" s="13">
        <v>0.0035</v>
      </c>
      <c r="D43" s="10" t="s">
        <v>64</v>
      </c>
    </row>
    <row r="44" spans="1:4">
      <c r="A44" t="s">
        <v>65</v>
      </c>
      <c r="B44" s="13">
        <v>0.02</v>
      </c>
      <c r="D44" s="10" t="s">
        <v>66</v>
      </c>
    </row>
    <row r="45" spans="1:4">
      <c r="A45" t="s">
        <v>67</v>
      </c>
      <c r="D45" s="10" t="s">
        <v>68</v>
      </c>
    </row>
    <row r="46" spans="1:4">
      <c r="A46" t="s">
        <v>69</v>
      </c>
      <c r="D46" s="10" t="s">
        <v>70</v>
      </c>
    </row>
    <row r="48" spans="1:1">
      <c r="A48" s="1" t="s">
        <v>71</v>
      </c>
    </row>
    <row r="49" spans="1:4">
      <c r="A49" s="2" t="s">
        <v>10</v>
      </c>
      <c r="B49" s="2" t="s">
        <v>72</v>
      </c>
      <c r="C49" s="2" t="s">
        <v>73</v>
      </c>
      <c r="D49" s="2" t="s">
        <v>74</v>
      </c>
    </row>
    <row r="50" spans="1:4">
      <c r="A50" t="s">
        <v>13</v>
      </c>
      <c r="B50" s="13">
        <v>0.173</v>
      </c>
      <c r="C50" s="13">
        <v>0.1853</v>
      </c>
      <c r="D50" s="10" t="s">
        <v>75</v>
      </c>
    </row>
    <row r="51" spans="1:4">
      <c r="A51" t="s">
        <v>15</v>
      </c>
      <c r="B51" s="13">
        <v>0.173</v>
      </c>
      <c r="C51" s="13">
        <v>0.2255</v>
      </c>
      <c r="D51" s="10" t="s">
        <v>76</v>
      </c>
    </row>
    <row r="52" spans="1:4">
      <c r="A52" t="s">
        <v>17</v>
      </c>
      <c r="B52" s="13">
        <v>0.173</v>
      </c>
      <c r="C52" s="13">
        <v>0.1488</v>
      </c>
      <c r="D52" s="10" t="s">
        <v>77</v>
      </c>
    </row>
    <row r="54" spans="1:1">
      <c r="A54" s="10" t="s">
        <v>78</v>
      </c>
    </row>
  </sheetData>
  <mergeCells count="2">
    <mergeCell ref="A35:D35"/>
    <mergeCell ref="A54:D5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"/>
  <sheetViews>
    <sheetView tabSelected="1" workbookViewId="0">
      <pane ySplit="2" topLeftCell="A3" activePane="bottomLeft" state="frozen"/>
      <selection/>
      <selection pane="bottomLeft" activeCell="D4" sqref="D4"/>
    </sheetView>
  </sheetViews>
  <sheetFormatPr defaultColWidth="9" defaultRowHeight="13.2"/>
  <cols>
    <col min="1" max="1" width="11" customWidth="1"/>
    <col min="2" max="2" width="13" customWidth="1"/>
    <col min="3" max="3" width="11" customWidth="1"/>
    <col min="4" max="5" width="13" customWidth="1"/>
    <col min="6" max="7" width="12" customWidth="1"/>
    <col min="8" max="8" width="11" customWidth="1"/>
    <col min="9" max="9" width="14" customWidth="1"/>
    <col min="10" max="10" width="11" customWidth="1"/>
    <col min="11" max="11" width="10" customWidth="1"/>
    <col min="12" max="12" width="14" customWidth="1"/>
    <col min="13" max="13" width="10" customWidth="1"/>
    <col min="14" max="16" width="14" customWidth="1"/>
    <col min="17" max="17" width="10" customWidth="1"/>
    <col min="18" max="18" width="11" customWidth="1"/>
    <col min="19" max="19" width="10" customWidth="1"/>
    <col min="20" max="20" width="11" customWidth="1"/>
    <col min="21" max="21" width="10" customWidth="1"/>
  </cols>
  <sheetData>
    <row r="1" spans="1:21">
      <c r="A1" s="7" t="s">
        <v>10</v>
      </c>
      <c r="B1" t="s">
        <v>13</v>
      </c>
      <c r="C1" s="7" t="s">
        <v>79</v>
      </c>
      <c r="D1" s="14">
        <f>設定!$B$2</f>
        <v>159.245</v>
      </c>
      <c r="E1" s="7" t="s">
        <v>80</v>
      </c>
      <c r="F1" s="17" t="s">
        <v>36</v>
      </c>
      <c r="H1" s="7" t="s">
        <v>81</v>
      </c>
      <c r="I1" s="13">
        <f>VLOOKUP(F1,設定!$A$17:$B$32,2,FALSE)+0.02+K1</f>
        <v>0.173</v>
      </c>
      <c r="J1" s="7" t="s">
        <v>82</v>
      </c>
      <c r="K1" s="19">
        <v>0</v>
      </c>
      <c r="R1" s="7" t="s">
        <v>83</v>
      </c>
      <c r="S1" s="13">
        <f>設定!$B$3</f>
        <v>0.1</v>
      </c>
      <c r="T1" s="7" t="s">
        <v>84</v>
      </c>
      <c r="U1" s="13">
        <f>設定!$B$4</f>
        <v>0.025</v>
      </c>
    </row>
    <row r="2" spans="1:16">
      <c r="A2" s="18" t="s">
        <v>85</v>
      </c>
      <c r="B2" s="18" t="s">
        <v>86</v>
      </c>
      <c r="D2" s="18" t="s">
        <v>87</v>
      </c>
      <c r="E2" s="18" t="s">
        <v>88</v>
      </c>
      <c r="F2" s="18" t="s">
        <v>89</v>
      </c>
      <c r="G2" s="18" t="s">
        <v>90</v>
      </c>
      <c r="H2" s="18" t="s">
        <v>91</v>
      </c>
      <c r="I2" s="18" t="s">
        <v>92</v>
      </c>
      <c r="J2" s="18" t="s">
        <v>93</v>
      </c>
      <c r="K2" s="18" t="s">
        <v>94</v>
      </c>
      <c r="L2" s="18" t="s">
        <v>95</v>
      </c>
      <c r="M2" s="18" t="s">
        <v>96</v>
      </c>
      <c r="N2" s="18" t="s">
        <v>97</v>
      </c>
      <c r="P2" s="18" t="s">
        <v>98</v>
      </c>
    </row>
    <row r="3" spans="1:16">
      <c r="A3">
        <f t="shared" ref="A3:A8" si="0">D3+J3</f>
        <v>180.98</v>
      </c>
      <c r="B3" s="20" t="s">
        <v>99</v>
      </c>
      <c r="C3">
        <f>J18</f>
        <v>130.98</v>
      </c>
      <c r="D3">
        <f t="shared" ref="D3:D8" si="1">INT(C3)+0.98</f>
        <v>130.98</v>
      </c>
      <c r="E3" s="12">
        <f>$E$4</f>
        <v>6800</v>
      </c>
      <c r="F3">
        <f>$F$4</f>
        <v>2323</v>
      </c>
      <c r="G3" s="12">
        <f>D3*$D$1</f>
        <v>20857.9101</v>
      </c>
      <c r="H3" s="12">
        <f>$H$4</f>
        <v>2000</v>
      </c>
      <c r="I3" s="12">
        <f>((D3+J3)*$D$1)*$I$1</f>
        <v>4985.8876973</v>
      </c>
      <c r="J3">
        <f t="shared" ref="J3:J8" si="2">_xlfn.IFS(D3&gt;=800,260,D3&gt;=600,210,D3&gt;=500,155,D3&gt;=400,130,D3&gt;=300,105,D3&gt;=200,75,D3&gt;=100,50,D3&gt;=60,30,D3&gt;=40,20,D3&lt;40,15)</f>
        <v>50</v>
      </c>
      <c r="K3" s="13">
        <f>$S$1</f>
        <v>0.1</v>
      </c>
      <c r="L3" s="22">
        <f t="shared" ref="L3:L8" si="3">G3-H3-I3-E3-N3-P3+F3</f>
        <v>5991.5586402</v>
      </c>
      <c r="M3" s="13">
        <f t="shared" ref="M3:M8" si="4">L3/G3</f>
        <v>0.287255943259627</v>
      </c>
      <c r="N3" s="12">
        <f>(D3+J3)*K3*$D$1</f>
        <v>2882.01601</v>
      </c>
      <c r="P3" s="12">
        <f>G3*$U$1</f>
        <v>521.4477525</v>
      </c>
    </row>
    <row r="4" spans="1:16">
      <c r="A4">
        <f t="shared" si="0"/>
        <v>160.98</v>
      </c>
      <c r="B4" s="21" t="s">
        <v>100</v>
      </c>
      <c r="C4" s="9">
        <v>110</v>
      </c>
      <c r="D4">
        <f t="shared" si="1"/>
        <v>110.98</v>
      </c>
      <c r="E4" s="8">
        <v>6800</v>
      </c>
      <c r="F4">
        <v>2323</v>
      </c>
      <c r="G4" s="12">
        <f>D4*$D$1</f>
        <v>17673.0101</v>
      </c>
      <c r="H4" s="8">
        <v>2000</v>
      </c>
      <c r="I4" s="12">
        <f>((D4+J4)*$D$1)*$I$1</f>
        <v>4434.8999973</v>
      </c>
      <c r="J4">
        <f t="shared" si="2"/>
        <v>50</v>
      </c>
      <c r="K4" s="13">
        <f>$S$1</f>
        <v>0.1</v>
      </c>
      <c r="L4" s="22">
        <f t="shared" si="3"/>
        <v>3755.7588402</v>
      </c>
      <c r="M4" s="13">
        <f t="shared" si="4"/>
        <v>0.212513817337772</v>
      </c>
      <c r="N4" s="12">
        <f>(D4+J4)*K4*$D$1</f>
        <v>2563.52601</v>
      </c>
      <c r="P4" s="12">
        <f>G4*$U$1</f>
        <v>441.8252525</v>
      </c>
    </row>
    <row r="5" spans="1:16">
      <c r="A5">
        <f t="shared" si="0"/>
        <v>154.98</v>
      </c>
      <c r="B5" s="13">
        <v>0.05</v>
      </c>
      <c r="C5">
        <f>$C$4*(1-B5)</f>
        <v>104.5</v>
      </c>
      <c r="D5">
        <f t="shared" si="1"/>
        <v>104.98</v>
      </c>
      <c r="E5" s="12">
        <f>$E$4</f>
        <v>6800</v>
      </c>
      <c r="F5">
        <f>$F$4</f>
        <v>2323</v>
      </c>
      <c r="G5" s="12">
        <f>D5*$D$1</f>
        <v>16717.5401</v>
      </c>
      <c r="H5" s="12">
        <f>$H$4</f>
        <v>2000</v>
      </c>
      <c r="I5" s="12">
        <f>((D5+J5)*$D$1)*$I$1</f>
        <v>4269.6036873</v>
      </c>
      <c r="J5">
        <f t="shared" si="2"/>
        <v>50</v>
      </c>
      <c r="K5" s="13">
        <f>$S$1</f>
        <v>0.1</v>
      </c>
      <c r="L5" s="22">
        <f t="shared" si="3"/>
        <v>3085.0189002</v>
      </c>
      <c r="M5" s="13">
        <f t="shared" si="4"/>
        <v>0.184537849572737</v>
      </c>
      <c r="N5" s="12">
        <f>(D5+J5)*K5*$D$1</f>
        <v>2467.97901</v>
      </c>
      <c r="P5" s="12">
        <f>G5*$U$1</f>
        <v>417.9385025</v>
      </c>
    </row>
    <row r="6" spans="1:16">
      <c r="A6">
        <f t="shared" si="0"/>
        <v>151.98</v>
      </c>
      <c r="B6" s="13">
        <v>0.08</v>
      </c>
      <c r="C6">
        <f>$C$4*(1-B6)</f>
        <v>101.2</v>
      </c>
      <c r="D6">
        <f t="shared" si="1"/>
        <v>101.98</v>
      </c>
      <c r="E6" s="12">
        <f>$E$4</f>
        <v>6800</v>
      </c>
      <c r="F6">
        <f>$F$4</f>
        <v>2323</v>
      </c>
      <c r="G6" s="12">
        <f>D6*$D$1</f>
        <v>16239.8051</v>
      </c>
      <c r="H6" s="12">
        <f>$H$4</f>
        <v>2000</v>
      </c>
      <c r="I6" s="12">
        <f>((D6+J6)*$D$1)*$I$1</f>
        <v>4186.9555323</v>
      </c>
      <c r="J6">
        <f t="shared" si="2"/>
        <v>50</v>
      </c>
      <c r="K6" s="13">
        <f>$S$1</f>
        <v>0.1</v>
      </c>
      <c r="L6" s="22">
        <f t="shared" si="3"/>
        <v>2749.6489302</v>
      </c>
      <c r="M6" s="13">
        <f t="shared" si="4"/>
        <v>0.16931538976413</v>
      </c>
      <c r="N6" s="12">
        <f>(D6+J6)*K6*$D$1</f>
        <v>2420.20551</v>
      </c>
      <c r="P6" s="12">
        <f>G6*$U$1</f>
        <v>405.9951275</v>
      </c>
    </row>
    <row r="7" spans="1:16">
      <c r="A7">
        <f t="shared" si="0"/>
        <v>129.98</v>
      </c>
      <c r="B7" s="13">
        <v>0.1</v>
      </c>
      <c r="C7">
        <f>$C$4*(1-B7)</f>
        <v>99</v>
      </c>
      <c r="D7">
        <f t="shared" si="1"/>
        <v>99.98</v>
      </c>
      <c r="E7" s="12">
        <f>$E$4</f>
        <v>6800</v>
      </c>
      <c r="F7">
        <f>$F$4</f>
        <v>2323</v>
      </c>
      <c r="G7" s="12">
        <f>D7*$D$1</f>
        <v>15921.3151</v>
      </c>
      <c r="H7" s="12">
        <f>$H$4</f>
        <v>2000</v>
      </c>
      <c r="I7" s="12">
        <f>((D7+J7)*$D$1)*$I$1</f>
        <v>3580.8690623</v>
      </c>
      <c r="J7">
        <f t="shared" si="2"/>
        <v>30</v>
      </c>
      <c r="K7" s="13">
        <f>$S$1</f>
        <v>0.1</v>
      </c>
      <c r="L7" s="22">
        <f t="shared" si="3"/>
        <v>3395.5466502</v>
      </c>
      <c r="M7" s="13">
        <f t="shared" si="4"/>
        <v>0.213270488579175</v>
      </c>
      <c r="N7" s="12">
        <f>(D7+J7)*K7*$D$1</f>
        <v>2069.86651</v>
      </c>
      <c r="P7" s="12">
        <f>G7*$U$1</f>
        <v>398.0328775</v>
      </c>
    </row>
    <row r="8" spans="1:16">
      <c r="A8">
        <f t="shared" si="0"/>
        <v>123.98</v>
      </c>
      <c r="B8" s="13">
        <v>0.15</v>
      </c>
      <c r="C8">
        <f>$C$4*(1-B8)</f>
        <v>93.5</v>
      </c>
      <c r="D8">
        <f t="shared" si="1"/>
        <v>93.98</v>
      </c>
      <c r="E8" s="12">
        <f>$E$4</f>
        <v>6800</v>
      </c>
      <c r="F8">
        <f>$F$4</f>
        <v>2323</v>
      </c>
      <c r="G8" s="12">
        <f>D8*$D$1</f>
        <v>14965.8451</v>
      </c>
      <c r="H8" s="12">
        <f>$H$4</f>
        <v>2000</v>
      </c>
      <c r="I8" s="12">
        <f>((D8+J8)*$D$1)*$I$1</f>
        <v>3415.5727523</v>
      </c>
      <c r="J8">
        <f t="shared" si="2"/>
        <v>30</v>
      </c>
      <c r="K8" s="13">
        <f>$S$1</f>
        <v>0.1</v>
      </c>
      <c r="L8" s="22">
        <f t="shared" si="3"/>
        <v>2724.8067102</v>
      </c>
      <c r="M8" s="13">
        <f t="shared" si="4"/>
        <v>0.182068349097105</v>
      </c>
      <c r="N8" s="12">
        <f>(D8+J8)*K8*$D$1</f>
        <v>1974.31951</v>
      </c>
      <c r="P8" s="12">
        <f>G8*$U$1</f>
        <v>374.1461275</v>
      </c>
    </row>
    <row r="11" spans="1:16">
      <c r="A11">
        <f>D11+J11</f>
        <v>180.98</v>
      </c>
      <c r="B11" s="7" t="s">
        <v>101</v>
      </c>
      <c r="C11">
        <f>J18</f>
        <v>130.98</v>
      </c>
      <c r="D11">
        <f>INT(C11)+0.98</f>
        <v>130.98</v>
      </c>
      <c r="E11" s="12">
        <f>$E$4</f>
        <v>6800</v>
      </c>
      <c r="F11">
        <f>$F$4</f>
        <v>2323</v>
      </c>
      <c r="G11" s="12">
        <f>D11*$D$1</f>
        <v>20857.9101</v>
      </c>
      <c r="H11" s="12">
        <f>$H$4</f>
        <v>2000</v>
      </c>
      <c r="I11" s="12">
        <f>((D11+J11)*$D$1)*$I$1</f>
        <v>4985.8876973</v>
      </c>
      <c r="J11">
        <f>_xlfn.IFS(D11&gt;=800,260,D11&gt;=600,210,D11&gt;=500,155,D11&gt;=400,130,D11&gt;=300,105,D11&gt;=200,75,D11&gt;=100,50,D11&gt;=60,30,D11&gt;=40,20,D11&lt;40,15)</f>
        <v>50</v>
      </c>
      <c r="K11" s="13">
        <f>$S$1</f>
        <v>0.1</v>
      </c>
      <c r="L11" s="12">
        <f>G11-H11-I11-E11-N11-P11+F11</f>
        <v>5991.5586402</v>
      </c>
      <c r="M11" s="13">
        <f>L11/G11</f>
        <v>0.287255943259627</v>
      </c>
      <c r="N11" s="12">
        <f>(D11+J11)*K11*$D$1</f>
        <v>2882.01601</v>
      </c>
      <c r="P11" s="12">
        <f>G11*$U$1</f>
        <v>521.4477525</v>
      </c>
    </row>
    <row r="12" spans="1:16">
      <c r="A12">
        <f>D12+J12</f>
        <v>315.98</v>
      </c>
      <c r="B12" t="s">
        <v>102</v>
      </c>
      <c r="C12" s="9">
        <v>240</v>
      </c>
      <c r="D12">
        <f>INT(C12)+0.98</f>
        <v>240.98</v>
      </c>
      <c r="E12" s="12">
        <f>$E$4</f>
        <v>6800</v>
      </c>
      <c r="F12">
        <f>$F$4</f>
        <v>2323</v>
      </c>
      <c r="G12" s="12">
        <f>D12*$D$1</f>
        <v>38374.8601</v>
      </c>
      <c r="H12" s="12">
        <f>$H$4</f>
        <v>2000</v>
      </c>
      <c r="I12" s="12">
        <f>((D12+J12)*$D$1)*$I$1</f>
        <v>8705.0546723</v>
      </c>
      <c r="J12">
        <f>_xlfn.IFS(D12&gt;=800,260,D12&gt;=600,210,D12&gt;=500,155,D12&gt;=400,130,D12&gt;=300,105,D12&gt;=200,75,D12&gt;=100,50,D12&gt;=60,30,D12&gt;=40,20,D12&lt;40,15)</f>
        <v>75</v>
      </c>
      <c r="K12" s="13">
        <f>$S$1</f>
        <v>0.1</v>
      </c>
      <c r="L12" s="12">
        <f>G12-H12-I12-E12-N12-P12+F12</f>
        <v>17201.6104152</v>
      </c>
      <c r="M12" s="13">
        <f>L12/G12</f>
        <v>0.448252068421221</v>
      </c>
      <c r="N12" s="12">
        <f>(D12+J12)*K12*$D$1</f>
        <v>5031.82351</v>
      </c>
      <c r="P12" s="12">
        <f>G12*$U$1</f>
        <v>959.3715025</v>
      </c>
    </row>
    <row r="15" spans="3:3">
      <c r="C15" s="1" t="s">
        <v>103</v>
      </c>
    </row>
    <row r="16" spans="4:15">
      <c r="D16" s="18" t="s">
        <v>104</v>
      </c>
      <c r="E16" s="18" t="s">
        <v>105</v>
      </c>
      <c r="H16" s="18" t="s">
        <v>106</v>
      </c>
      <c r="I16" s="18" t="s">
        <v>107</v>
      </c>
      <c r="J16" s="18" t="s">
        <v>108</v>
      </c>
      <c r="K16" s="18" t="s">
        <v>109</v>
      </c>
      <c r="L16" s="18" t="s">
        <v>110</v>
      </c>
      <c r="M16" s="18" t="s">
        <v>111</v>
      </c>
      <c r="N16" s="18" t="s">
        <v>112</v>
      </c>
      <c r="O16" s="18" t="s">
        <v>113</v>
      </c>
    </row>
    <row r="17" spans="3:15">
      <c r="C17" t="s">
        <v>28</v>
      </c>
      <c r="D17" s="13">
        <v>0.1325</v>
      </c>
      <c r="E17" s="12">
        <v>2000</v>
      </c>
      <c r="H17" s="12">
        <f>E4</f>
        <v>6800</v>
      </c>
      <c r="I17">
        <f>ROUNDDOWN(((H17+E17+5000)/(1-(D17+0.02+$K$1)-$S$1-$U$1))/140,0)+0.98</f>
        <v>136.98</v>
      </c>
      <c r="J17">
        <f>ROUNDDOWN(((H17+E17+4000)/(1-(D17+0.02+$K$1)-$S$1-$U$1))/140,0)+0.98</f>
        <v>126.98</v>
      </c>
      <c r="K17">
        <f>ROUNDDOWN(((H17+E17+3000)/(1-(D17+0.02+$K$1)-$S$1-$U$1))/140,0)+0.98</f>
        <v>116.98</v>
      </c>
      <c r="L17">
        <f>ROUNDDOWN(((H17+E17+2000)/(1-(D17+0.02+$K$1)-$S$1-$U$1))/140,0)+0.98</f>
        <v>106.98</v>
      </c>
      <c r="M17">
        <f>ROUNDDOWN(((H17+E17+1000)/(1-(D17+0.02+$K$1)-$S$1-$U$1))/140,0)+0.98</f>
        <v>96.98</v>
      </c>
      <c r="N17">
        <f>ROUNDDOWN(((H17+E17+500)/(1-(D17+0.02+$K$1)-$S$1-$U$1))/140,0)+0.98</f>
        <v>91.98</v>
      </c>
      <c r="O17">
        <f>ROUNDDOWN(((H17+E17+0)/(1-(D17+0.02+$K$1)-$S$1-$U$1))/140,0)+0.98</f>
        <v>86.98</v>
      </c>
    </row>
    <row r="18" spans="3:15">
      <c r="C18" t="s">
        <v>114</v>
      </c>
      <c r="D18" s="13">
        <v>0.153</v>
      </c>
      <c r="E18" s="12">
        <v>2000</v>
      </c>
      <c r="H18" s="12">
        <f>E4</f>
        <v>6800</v>
      </c>
      <c r="I18">
        <f>ROUNDDOWN(((H18+E18+5000)/(1-(D18+0.02+$K$1)-$S$1-$U$1))/140,0)+0.98</f>
        <v>140.98</v>
      </c>
      <c r="J18">
        <f>ROUNDDOWN(((H18+E18+4000)/(1-(D18+0.02+$K$1)-$S$1-$U$1))/140,0)+0.98</f>
        <v>130.98</v>
      </c>
      <c r="K18">
        <f>ROUNDDOWN(((H18+E18+3000)/(1-(D18+0.02+$K$1)-$S$1-$U$1))/140,0)+0.98</f>
        <v>120.98</v>
      </c>
      <c r="L18">
        <f>ROUNDDOWN(((H18+E18+2000)/(1-(D18+0.02+$K$1)-$S$1-$U$1))/140,0)+0.98</f>
        <v>109.98</v>
      </c>
      <c r="M18">
        <f>ROUNDDOWN(((H18+E18+1000)/(1-(D18+0.02+$K$1)-$S$1-$U$1))/140,0)+0.98</f>
        <v>99.98</v>
      </c>
      <c r="N18">
        <f>ROUNDDOWN(((H18+E18+500)/(1-(D18+0.02+$K$1)-$S$1-$U$1))/140,0)+0.98</f>
        <v>94.98</v>
      </c>
      <c r="O18">
        <f>ROUNDDOWN(((H18+E18+0)/(1-(D18+0.02+$K$1)-$S$1-$U$1))/140,0)+0.98</f>
        <v>89.98</v>
      </c>
    </row>
    <row r="19" spans="3:15">
      <c r="C19" t="s">
        <v>40</v>
      </c>
      <c r="D19" s="13">
        <v>0.1325</v>
      </c>
      <c r="E19" s="12">
        <v>3500</v>
      </c>
      <c r="H19" s="12">
        <f>E4</f>
        <v>6800</v>
      </c>
      <c r="I19">
        <f>ROUNDDOWN(((H19+E19+5000)/(1-(D19+0.02+$K$1)-$S$1-$U$1))/140,0)+0.98</f>
        <v>151.98</v>
      </c>
      <c r="J19">
        <f>ROUNDDOWN(((H19+E19+4000)/(1-(D19+0.02+$K$1)-$S$1-$U$1))/140,0)+0.98</f>
        <v>141.98</v>
      </c>
      <c r="K19">
        <f>ROUNDDOWN(((H19+E19+3000)/(1-(D19+0.02+$K$1)-$S$1-$U$1))/140,0)+0.98</f>
        <v>131.98</v>
      </c>
      <c r="L19">
        <f>ROUNDDOWN(((H19+E19+2000)/(1-(D19+0.02+$K$1)-$S$1-$U$1))/140,0)+0.98</f>
        <v>121.98</v>
      </c>
      <c r="M19">
        <f>ROUNDDOWN(((H19+E19+1000)/(1-(D19+0.02+$K$1)-$S$1-$U$1))/140,0)+0.98</f>
        <v>111.98</v>
      </c>
      <c r="N19">
        <f>ROUNDDOWN(((H19+E19+500)/(1-(D19+0.02+$K$1)-$S$1-$U$1))/140,0)+0.98</f>
        <v>106.98</v>
      </c>
      <c r="O19">
        <f>ROUNDDOWN(((H19+E19+0)/(1-(D19+0.02+$K$1)-$S$1-$U$1))/140,0)+0.98</f>
        <v>101.98</v>
      </c>
    </row>
    <row r="20" spans="3:15">
      <c r="C20" t="s">
        <v>30</v>
      </c>
      <c r="D20" s="13">
        <v>0.1325</v>
      </c>
      <c r="E20" s="12">
        <v>2000</v>
      </c>
      <c r="H20" s="12">
        <f>E4</f>
        <v>6800</v>
      </c>
      <c r="I20">
        <f>ROUNDDOWN(((H20+E20+5000)/(1-(D20+0.02+$K$1)-$S$1-$U$1))/140,0)+0.98</f>
        <v>136.98</v>
      </c>
      <c r="J20">
        <f>ROUNDDOWN(((H20+E20+4000)/(1-(D20+0.02+$K$1)-$S$1-$U$1))/140,0)+0.98</f>
        <v>126.98</v>
      </c>
      <c r="K20">
        <f>ROUNDDOWN(((H20+E20+3000)/(1-(D20+0.02+$K$1)-$S$1-$U$1))/140,0)+0.98</f>
        <v>116.98</v>
      </c>
      <c r="L20">
        <f>ROUNDDOWN(((H20+E20+2000)/(1-(D20+0.02+$K$1)-$S$1-$U$1))/140,0)+0.98</f>
        <v>106.98</v>
      </c>
      <c r="M20">
        <f>ROUNDDOWN(((H20+E20+1000)/(1-(D20+0.02+$K$1)-$S$1-$U$1))/140,0)+0.98</f>
        <v>96.98</v>
      </c>
      <c r="N20">
        <f>ROUNDDOWN(((H20+E20+500)/(1-(D20+0.02+$K$1)-$S$1-$U$1))/140,0)+0.98</f>
        <v>91.98</v>
      </c>
      <c r="O20">
        <f>ROUNDDOWN(((H20+E20+0)/(1-(D20+0.02+$K$1)-$S$1-$U$1))/140,0)+0.98</f>
        <v>86.98</v>
      </c>
    </row>
    <row r="21" spans="3:15">
      <c r="C21" t="s">
        <v>36</v>
      </c>
      <c r="D21" s="13">
        <v>0.153</v>
      </c>
      <c r="E21" s="12">
        <v>4500</v>
      </c>
      <c r="H21" s="12">
        <f>E4</f>
        <v>6800</v>
      </c>
      <c r="I21">
        <f>ROUNDDOWN(((H21+E21+5000)/(1-(D21+0.02+$K$1)-$S$1-$U$1))/140,0)+0.98</f>
        <v>165.98</v>
      </c>
      <c r="J21">
        <f>ROUNDDOWN(((H21+E21+4000)/(1-(D21+0.02+$K$1)-$S$1-$U$1))/140,0)+0.98</f>
        <v>155.98</v>
      </c>
      <c r="K21">
        <f>ROUNDDOWN(((H21+E21+3000)/(1-(D21+0.02+$K$1)-$S$1-$U$1))/140,0)+0.98</f>
        <v>145.98</v>
      </c>
      <c r="L21">
        <f>ROUNDDOWN(((H21+E21+2000)/(1-(D21+0.02+$K$1)-$S$1-$U$1))/140,0)+0.98</f>
        <v>135.98</v>
      </c>
      <c r="M21">
        <f>ROUNDDOWN(((H21+E21+1000)/(1-(D21+0.02+$K$1)-$S$1-$U$1))/140,0)+0.98</f>
        <v>125.98</v>
      </c>
      <c r="N21">
        <f>ROUNDDOWN(((H21+E21+500)/(1-(D21+0.02+$K$1)-$S$1-$U$1))/140,0)+0.98</f>
        <v>120.98</v>
      </c>
      <c r="O21">
        <f>ROUNDDOWN(((H21+E21+0)/(1-(D21+0.02+$K$1)-$S$1-$U$1))/140,0)+0.98</f>
        <v>114.98</v>
      </c>
    </row>
    <row r="23" spans="3:3">
      <c r="C23" s="10" t="s">
        <v>115</v>
      </c>
    </row>
    <row r="24" spans="3:3">
      <c r="C24" s="10" t="s">
        <v>116</v>
      </c>
    </row>
  </sheetData>
  <dataValidations count="1">
    <dataValidation type="list" sqref="F1">
      <formula1>設定!$A$17:$A$32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3.2"/>
  <cols>
    <col min="1" max="1" width="11" customWidth="1"/>
    <col min="2" max="2" width="13" customWidth="1"/>
    <col min="3" max="3" width="11" customWidth="1"/>
    <col min="4" max="5" width="13" customWidth="1"/>
    <col min="6" max="7" width="12" customWidth="1"/>
    <col min="8" max="8" width="11" customWidth="1"/>
    <col min="9" max="9" width="14" customWidth="1"/>
    <col min="10" max="10" width="11" customWidth="1"/>
    <col min="11" max="11" width="10" customWidth="1"/>
    <col min="12" max="12" width="14" customWidth="1"/>
    <col min="13" max="13" width="10" customWidth="1"/>
    <col min="14" max="16" width="14" customWidth="1"/>
    <col min="17" max="17" width="10" customWidth="1"/>
    <col min="18" max="18" width="11" customWidth="1"/>
    <col min="19" max="19" width="10" customWidth="1"/>
    <col min="20" max="20" width="11" customWidth="1"/>
    <col min="21" max="21" width="10" customWidth="1"/>
  </cols>
  <sheetData>
    <row r="1" spans="1:21">
      <c r="A1" s="7" t="s">
        <v>10</v>
      </c>
      <c r="B1" t="s">
        <v>15</v>
      </c>
      <c r="C1" s="7" t="s">
        <v>79</v>
      </c>
      <c r="D1" s="14">
        <f>設定!$B$2</f>
        <v>159.245</v>
      </c>
      <c r="E1" s="7" t="s">
        <v>80</v>
      </c>
      <c r="F1" s="17" t="s">
        <v>28</v>
      </c>
      <c r="H1" s="7" t="s">
        <v>81</v>
      </c>
      <c r="I1" s="13">
        <f>VLOOKUP(F1,設定!$A$17:$B$32,2,FALSE)+0.02+K1</f>
        <v>0.2025</v>
      </c>
      <c r="J1" s="7" t="s">
        <v>82</v>
      </c>
      <c r="K1" s="19">
        <v>0.05</v>
      </c>
      <c r="R1" s="7" t="s">
        <v>83</v>
      </c>
      <c r="S1" s="13">
        <f>設定!$B$3</f>
        <v>0.1</v>
      </c>
      <c r="T1" s="7" t="s">
        <v>84</v>
      </c>
      <c r="U1" s="13">
        <f>設定!$B$4</f>
        <v>0.025</v>
      </c>
    </row>
    <row r="2" spans="1:16">
      <c r="A2" s="18" t="s">
        <v>85</v>
      </c>
      <c r="B2" s="18" t="s">
        <v>86</v>
      </c>
      <c r="D2" s="18" t="s">
        <v>87</v>
      </c>
      <c r="E2" s="18" t="s">
        <v>88</v>
      </c>
      <c r="F2" s="18" t="s">
        <v>89</v>
      </c>
      <c r="G2" s="18" t="s">
        <v>90</v>
      </c>
      <c r="H2" s="18" t="s">
        <v>91</v>
      </c>
      <c r="I2" s="18" t="s">
        <v>92</v>
      </c>
      <c r="J2" s="18" t="s">
        <v>93</v>
      </c>
      <c r="K2" s="18" t="s">
        <v>94</v>
      </c>
      <c r="L2" s="18" t="s">
        <v>95</v>
      </c>
      <c r="M2" s="18" t="s">
        <v>96</v>
      </c>
      <c r="N2" s="18" t="s">
        <v>97</v>
      </c>
      <c r="P2" s="18" t="s">
        <v>98</v>
      </c>
    </row>
    <row r="3" spans="1:16">
      <c r="A3">
        <f t="shared" ref="A3:A8" si="0">D3+J3</f>
        <v>601.98</v>
      </c>
      <c r="B3" s="7" t="s">
        <v>99</v>
      </c>
      <c r="C3">
        <f>J18</f>
        <v>471.98</v>
      </c>
      <c r="D3">
        <f t="shared" ref="D3:D8" si="1">INT(C3)+0.98</f>
        <v>471.98</v>
      </c>
      <c r="E3" s="12">
        <f>$E$4</f>
        <v>37000</v>
      </c>
      <c r="F3">
        <f>$F$4</f>
        <v>0</v>
      </c>
      <c r="G3" s="12">
        <f>D3*$D$1</f>
        <v>75160.4551</v>
      </c>
      <c r="H3" s="12">
        <f>$H$4</f>
        <v>2000</v>
      </c>
      <c r="I3" s="12">
        <f>((D3+J3)*$D$1)*$I$1</f>
        <v>19412.11678275</v>
      </c>
      <c r="J3">
        <f t="shared" ref="J3:J8" si="2">_xlfn.IFS(D3&gt;=800,260,D3&gt;=600,210,D3&gt;=500,155,D3&gt;=400,130,D3&gt;=300,105,D3&gt;=200,75,D3&gt;=100,50,D3&gt;=60,30,D3&gt;=40,20,D3&lt;40,15)</f>
        <v>130</v>
      </c>
      <c r="K3" s="13">
        <f>$S$1</f>
        <v>0.1</v>
      </c>
      <c r="L3" s="12">
        <f t="shared" ref="L3:L8" si="3">G3-H3-I3-E3-N3-P3+F3</f>
        <v>5283.09642975</v>
      </c>
      <c r="M3" s="13">
        <f t="shared" ref="M3:M8" si="4">L3/G3</f>
        <v>0.0702909052735366</v>
      </c>
      <c r="N3" s="12">
        <f>(D3+J3)*K3*$D$1</f>
        <v>9586.23051</v>
      </c>
      <c r="P3" s="12">
        <f>G3*$U$1</f>
        <v>1879.0113775</v>
      </c>
    </row>
    <row r="4" spans="1:16">
      <c r="A4">
        <f t="shared" si="0"/>
        <v>562.98</v>
      </c>
      <c r="B4" s="17" t="s">
        <v>100</v>
      </c>
      <c r="C4" s="9">
        <v>432</v>
      </c>
      <c r="D4">
        <f t="shared" si="1"/>
        <v>432.98</v>
      </c>
      <c r="E4" s="8">
        <v>37000</v>
      </c>
      <c r="F4">
        <v>0</v>
      </c>
      <c r="G4" s="12">
        <f>D4*$D$1</f>
        <v>68949.9001</v>
      </c>
      <c r="H4" s="8">
        <v>2000</v>
      </c>
      <c r="I4" s="12">
        <f>((D4+J4)*$D$1)*$I$1</f>
        <v>18154.47939525</v>
      </c>
      <c r="J4">
        <f t="shared" si="2"/>
        <v>130</v>
      </c>
      <c r="K4" s="13">
        <f>$S$1</f>
        <v>0.1</v>
      </c>
      <c r="L4" s="12">
        <f t="shared" si="3"/>
        <v>1106.49819224999</v>
      </c>
      <c r="M4" s="13">
        <f t="shared" si="4"/>
        <v>0.0160478578017547</v>
      </c>
      <c r="N4" s="12">
        <f>(D4+J4)*K4*$D$1</f>
        <v>8965.17501</v>
      </c>
      <c r="P4" s="12">
        <f>G4*$U$1</f>
        <v>1723.7475025</v>
      </c>
    </row>
    <row r="5" spans="1:16">
      <c r="A5">
        <f t="shared" si="0"/>
        <v>540.98</v>
      </c>
      <c r="B5" s="13">
        <v>0.05</v>
      </c>
      <c r="C5">
        <f>$C$4*(1-B5)</f>
        <v>410.4</v>
      </c>
      <c r="D5">
        <f t="shared" si="1"/>
        <v>410.98</v>
      </c>
      <c r="E5" s="12">
        <f>$E$4</f>
        <v>37000</v>
      </c>
      <c r="F5">
        <f>$F$4</f>
        <v>0</v>
      </c>
      <c r="G5" s="12">
        <f>D5*$D$1</f>
        <v>65446.5101</v>
      </c>
      <c r="H5" s="12">
        <f>$H$4</f>
        <v>2000</v>
      </c>
      <c r="I5" s="12">
        <f>((D5+J5)*$D$1)*$I$1</f>
        <v>17445.04292025</v>
      </c>
      <c r="J5">
        <f t="shared" si="2"/>
        <v>130</v>
      </c>
      <c r="K5" s="13">
        <f>$S$1</f>
        <v>0.1</v>
      </c>
      <c r="L5" s="12">
        <f t="shared" si="3"/>
        <v>-1249.53158275</v>
      </c>
      <c r="M5" s="13">
        <f t="shared" si="4"/>
        <v>-0.0190924096768606</v>
      </c>
      <c r="N5" s="12">
        <f>(D5+J5)*K5*$D$1</f>
        <v>8614.83601</v>
      </c>
      <c r="P5" s="12">
        <f>G5*$U$1</f>
        <v>1636.1627525</v>
      </c>
    </row>
    <row r="6" spans="1:16">
      <c r="A6">
        <f t="shared" si="0"/>
        <v>502.98</v>
      </c>
      <c r="B6" s="13">
        <v>0.08</v>
      </c>
      <c r="C6">
        <f>$C$4*(1-B6)</f>
        <v>397.44</v>
      </c>
      <c r="D6">
        <f t="shared" si="1"/>
        <v>397.98</v>
      </c>
      <c r="E6" s="12">
        <f>$E$4</f>
        <v>37000</v>
      </c>
      <c r="F6">
        <f>$F$4</f>
        <v>0</v>
      </c>
      <c r="G6" s="12">
        <f>D6*$D$1</f>
        <v>63376.3251</v>
      </c>
      <c r="H6" s="12">
        <f>$H$4</f>
        <v>2000</v>
      </c>
      <c r="I6" s="12">
        <f>((D6+J6)*$D$1)*$I$1</f>
        <v>16219.65264525</v>
      </c>
      <c r="J6">
        <f t="shared" si="2"/>
        <v>105</v>
      </c>
      <c r="K6" s="13">
        <f>$S$1</f>
        <v>0.1</v>
      </c>
      <c r="L6" s="12">
        <f t="shared" si="3"/>
        <v>-1437.44068275</v>
      </c>
      <c r="M6" s="13">
        <f t="shared" si="4"/>
        <v>-0.0226810355520283</v>
      </c>
      <c r="N6" s="12">
        <f>(D6+J6)*K6*$D$1</f>
        <v>8009.70501</v>
      </c>
      <c r="P6" s="12">
        <f>G6*$U$1</f>
        <v>1584.4081275</v>
      </c>
    </row>
    <row r="7" spans="1:16">
      <c r="A7">
        <f t="shared" si="0"/>
        <v>493.98</v>
      </c>
      <c r="B7" s="13">
        <v>0.1</v>
      </c>
      <c r="C7">
        <f>$C$4*(1-B7)</f>
        <v>388.8</v>
      </c>
      <c r="D7">
        <f t="shared" si="1"/>
        <v>388.98</v>
      </c>
      <c r="E7" s="12">
        <f>$E$4</f>
        <v>37000</v>
      </c>
      <c r="F7">
        <f>$F$4</f>
        <v>0</v>
      </c>
      <c r="G7" s="12">
        <f>D7*$D$1</f>
        <v>61943.1201</v>
      </c>
      <c r="H7" s="12">
        <f>$H$4</f>
        <v>2000</v>
      </c>
      <c r="I7" s="12">
        <f>((D7+J7)*$D$1)*$I$1</f>
        <v>15929.42863275</v>
      </c>
      <c r="J7">
        <f t="shared" si="2"/>
        <v>105</v>
      </c>
      <c r="K7" s="13">
        <f>$S$1</f>
        <v>0.1</v>
      </c>
      <c r="L7" s="12">
        <f t="shared" si="3"/>
        <v>-2401.27104525</v>
      </c>
      <c r="M7" s="13">
        <f t="shared" si="4"/>
        <v>-0.038765742529169</v>
      </c>
      <c r="N7" s="12">
        <f>(D7+J7)*K7*$D$1</f>
        <v>7866.38451</v>
      </c>
      <c r="P7" s="12">
        <f>G7*$U$1</f>
        <v>1548.5780025</v>
      </c>
    </row>
    <row r="8" spans="1:16">
      <c r="A8">
        <f t="shared" si="0"/>
        <v>472.98</v>
      </c>
      <c r="B8" s="13">
        <v>0.15</v>
      </c>
      <c r="C8">
        <f>$C$4*(1-B8)</f>
        <v>367.2</v>
      </c>
      <c r="D8">
        <f t="shared" si="1"/>
        <v>367.98</v>
      </c>
      <c r="E8" s="12">
        <f>$E$4</f>
        <v>37000</v>
      </c>
      <c r="F8">
        <f>$F$4</f>
        <v>0</v>
      </c>
      <c r="G8" s="12">
        <f>D8*$D$1</f>
        <v>58598.9751</v>
      </c>
      <c r="H8" s="12">
        <f>$H$4</f>
        <v>2000</v>
      </c>
      <c r="I8" s="12">
        <f>((D8+J8)*$D$1)*$I$1</f>
        <v>15252.23927025</v>
      </c>
      <c r="J8">
        <f t="shared" si="2"/>
        <v>105</v>
      </c>
      <c r="K8" s="13">
        <f>$S$1</f>
        <v>0.1</v>
      </c>
      <c r="L8" s="12">
        <f t="shared" si="3"/>
        <v>-4650.20855775</v>
      </c>
      <c r="M8" s="13">
        <f t="shared" si="4"/>
        <v>-0.0793564827680749</v>
      </c>
      <c r="N8" s="12">
        <f>(D8+J8)*K8*$D$1</f>
        <v>7531.97001</v>
      </c>
      <c r="P8" s="12">
        <f>G8*$U$1</f>
        <v>1464.9743775</v>
      </c>
    </row>
    <row r="11" spans="1:16">
      <c r="A11">
        <f>D11+J11</f>
        <v>601.98</v>
      </c>
      <c r="B11" s="7" t="s">
        <v>101</v>
      </c>
      <c r="C11">
        <f>J18</f>
        <v>471.98</v>
      </c>
      <c r="D11">
        <f>INT(C11)+0.98</f>
        <v>471.98</v>
      </c>
      <c r="E11" s="12">
        <f>$E$4</f>
        <v>37000</v>
      </c>
      <c r="F11">
        <f>$F$4</f>
        <v>0</v>
      </c>
      <c r="G11" s="12">
        <f>D11*$D$1</f>
        <v>75160.4551</v>
      </c>
      <c r="H11" s="12">
        <f>$H$4</f>
        <v>2000</v>
      </c>
      <c r="I11" s="12">
        <f>((D11+J11)*$D$1)*$I$1</f>
        <v>19412.11678275</v>
      </c>
      <c r="J11">
        <f>_xlfn.IFS(D11&gt;=800,260,D11&gt;=600,210,D11&gt;=500,155,D11&gt;=400,130,D11&gt;=300,105,D11&gt;=200,75,D11&gt;=100,50,D11&gt;=60,30,D11&gt;=40,20,D11&lt;40,15)</f>
        <v>130</v>
      </c>
      <c r="K11" s="13">
        <f>$S$1</f>
        <v>0.1</v>
      </c>
      <c r="L11" s="12">
        <f>G11-H11-I11-E11-N11-P11+F11</f>
        <v>5283.09642975</v>
      </c>
      <c r="M11" s="13">
        <f>L11/G11</f>
        <v>0.0702909052735366</v>
      </c>
      <c r="N11" s="12">
        <f>(D11+J11)*K11*$D$1</f>
        <v>9586.23051</v>
      </c>
      <c r="P11" s="12">
        <f>G11*$U$1</f>
        <v>1879.0113775</v>
      </c>
    </row>
    <row r="12" spans="1:16">
      <c r="A12">
        <f>D12+J12</f>
        <v>315.98</v>
      </c>
      <c r="B12" t="s">
        <v>102</v>
      </c>
      <c r="C12" s="9">
        <v>240</v>
      </c>
      <c r="D12">
        <f>INT(C12)+0.98</f>
        <v>240.98</v>
      </c>
      <c r="E12" s="12">
        <f>$E$4</f>
        <v>37000</v>
      </c>
      <c r="F12">
        <f>$F$4</f>
        <v>0</v>
      </c>
      <c r="G12" s="12">
        <f>D12*$D$1</f>
        <v>38374.8601</v>
      </c>
      <c r="H12" s="12">
        <f>$H$4</f>
        <v>2000</v>
      </c>
      <c r="I12" s="12">
        <f>((D12+J12)*$D$1)*$I$1</f>
        <v>10189.44260775</v>
      </c>
      <c r="J12">
        <f>_xlfn.IFS(D12&gt;=800,260,D12&gt;=600,210,D12&gt;=500,155,D12&gt;=400,130,D12&gt;=300,105,D12&gt;=200,75,D12&gt;=100,50,D12&gt;=60,30,D12&gt;=40,20,D12&lt;40,15)</f>
        <v>75</v>
      </c>
      <c r="K12" s="13">
        <f>$S$1</f>
        <v>0.1</v>
      </c>
      <c r="L12" s="12">
        <f>G12-H12-I12-E12-N12-P12+F12</f>
        <v>-16805.77752025</v>
      </c>
      <c r="M12" s="13">
        <f>L12/G12</f>
        <v>-0.437937167105138</v>
      </c>
      <c r="N12" s="12">
        <f>(D12+J12)*K12*$D$1</f>
        <v>5031.82351</v>
      </c>
      <c r="P12" s="12">
        <f>G12*$U$1</f>
        <v>959.3715025</v>
      </c>
    </row>
    <row r="15" spans="3:3">
      <c r="C15" s="1" t="s">
        <v>103</v>
      </c>
    </row>
    <row r="16" spans="4:15">
      <c r="D16" s="18" t="s">
        <v>104</v>
      </c>
      <c r="E16" s="18" t="s">
        <v>105</v>
      </c>
      <c r="H16" s="18" t="s">
        <v>106</v>
      </c>
      <c r="I16" s="18" t="s">
        <v>107</v>
      </c>
      <c r="J16" s="18" t="s">
        <v>108</v>
      </c>
      <c r="K16" s="18" t="s">
        <v>109</v>
      </c>
      <c r="L16" s="18" t="s">
        <v>110</v>
      </c>
      <c r="M16" s="18" t="s">
        <v>111</v>
      </c>
      <c r="N16" s="18" t="s">
        <v>112</v>
      </c>
      <c r="O16" s="18" t="s">
        <v>113</v>
      </c>
    </row>
    <row r="17" spans="3:15">
      <c r="C17" t="s">
        <v>28</v>
      </c>
      <c r="D17" s="13">
        <v>0.1325</v>
      </c>
      <c r="E17" s="12">
        <v>2000</v>
      </c>
      <c r="H17" s="12">
        <f>E4</f>
        <v>37000</v>
      </c>
      <c r="I17">
        <f>ROUNDDOWN(((H17+E17+5000)/(1-(D17+0.02+$K$1)-$S$1-$U$1))/140,0)+0.98</f>
        <v>467.98</v>
      </c>
      <c r="J17">
        <f>ROUNDDOWN(((H17+E17+4000)/(1-(D17+0.02+$K$1)-$S$1-$U$1))/140,0)+0.98</f>
        <v>456.98</v>
      </c>
      <c r="K17">
        <f>ROUNDDOWN(((H17+E17+3000)/(1-(D17+0.02+$K$1)-$S$1-$U$1))/140,0)+0.98</f>
        <v>446.98</v>
      </c>
      <c r="L17">
        <f>ROUNDDOWN(((H17+E17+2000)/(1-(D17+0.02+$K$1)-$S$1-$U$1))/140,0)+0.98</f>
        <v>435.98</v>
      </c>
      <c r="M17">
        <f>ROUNDDOWN(((H17+E17+1000)/(1-(D17+0.02+$K$1)-$S$1-$U$1))/140,0)+0.98</f>
        <v>424.98</v>
      </c>
      <c r="N17">
        <f>ROUNDDOWN(((H17+E17+500)/(1-(D17+0.02+$K$1)-$S$1-$U$1))/140,0)+0.98</f>
        <v>419.98</v>
      </c>
      <c r="O17">
        <f>ROUNDDOWN(((H17+E17+0)/(1-(D17+0.02+$K$1)-$S$1-$U$1))/140,0)+0.98</f>
        <v>414.98</v>
      </c>
    </row>
    <row r="18" spans="3:15">
      <c r="C18" t="s">
        <v>114</v>
      </c>
      <c r="D18" s="13">
        <v>0.153</v>
      </c>
      <c r="E18" s="12">
        <v>2000</v>
      </c>
      <c r="H18" s="12">
        <f>E4</f>
        <v>37000</v>
      </c>
      <c r="I18">
        <f>ROUNDDOWN(((H18+E18+5000)/(1-(D18+0.02+$K$1)-$S$1-$U$1))/140,0)+0.98</f>
        <v>482.98</v>
      </c>
      <c r="J18">
        <f>ROUNDDOWN(((H18+E18+4000)/(1-(D18+0.02+$K$1)-$S$1-$U$1))/140,0)+0.98</f>
        <v>471.98</v>
      </c>
      <c r="K18">
        <f>ROUNDDOWN(((H18+E18+3000)/(1-(D18+0.02+$K$1)-$S$1-$U$1))/140,0)+0.98</f>
        <v>460.98</v>
      </c>
      <c r="L18">
        <f>ROUNDDOWN(((H18+E18+2000)/(1-(D18+0.02+$K$1)-$S$1-$U$1))/140,0)+0.98</f>
        <v>449.98</v>
      </c>
      <c r="M18">
        <f>ROUNDDOWN(((H18+E18+1000)/(1-(D18+0.02+$K$1)-$S$1-$U$1))/140,0)+0.98</f>
        <v>438.98</v>
      </c>
      <c r="N18">
        <f>ROUNDDOWN(((H18+E18+500)/(1-(D18+0.02+$K$1)-$S$1-$U$1))/140,0)+0.98</f>
        <v>432.98</v>
      </c>
      <c r="O18">
        <f>ROUNDDOWN(((H18+E18+0)/(1-(D18+0.02+$K$1)-$S$1-$U$1))/140,0)+0.98</f>
        <v>427.98</v>
      </c>
    </row>
    <row r="19" spans="3:15">
      <c r="C19" t="s">
        <v>40</v>
      </c>
      <c r="D19" s="13">
        <v>0.1325</v>
      </c>
      <c r="E19" s="12">
        <v>3500</v>
      </c>
      <c r="H19" s="12">
        <f>E4</f>
        <v>37000</v>
      </c>
      <c r="I19">
        <f>ROUNDDOWN(((H19+E19+5000)/(1-(D19+0.02+$K$1)-$S$1-$U$1))/140,0)+0.98</f>
        <v>483.98</v>
      </c>
      <c r="J19">
        <f>ROUNDDOWN(((H19+E19+4000)/(1-(D19+0.02+$K$1)-$S$1-$U$1))/140,0)+0.98</f>
        <v>472.98</v>
      </c>
      <c r="K19">
        <f>ROUNDDOWN(((H19+E19+3000)/(1-(D19+0.02+$K$1)-$S$1-$U$1))/140,0)+0.98</f>
        <v>462.98</v>
      </c>
      <c r="L19">
        <f>ROUNDDOWN(((H19+E19+2000)/(1-(D19+0.02+$K$1)-$S$1-$U$1))/140,0)+0.98</f>
        <v>451.98</v>
      </c>
      <c r="M19">
        <f>ROUNDDOWN(((H19+E19+1000)/(1-(D19+0.02+$K$1)-$S$1-$U$1))/140,0)+0.98</f>
        <v>440.98</v>
      </c>
      <c r="N19">
        <f>ROUNDDOWN(((H19+E19+500)/(1-(D19+0.02+$K$1)-$S$1-$U$1))/140,0)+0.98</f>
        <v>435.98</v>
      </c>
      <c r="O19">
        <f>ROUNDDOWN(((H19+E19+0)/(1-(D19+0.02+$K$1)-$S$1-$U$1))/140,0)+0.98</f>
        <v>430.98</v>
      </c>
    </row>
    <row r="20" spans="3:15">
      <c r="C20" t="s">
        <v>30</v>
      </c>
      <c r="D20" s="13">
        <v>0.1325</v>
      </c>
      <c r="E20" s="12">
        <v>2000</v>
      </c>
      <c r="H20" s="12">
        <f>E4</f>
        <v>37000</v>
      </c>
      <c r="I20">
        <f>ROUNDDOWN(((H20+E20+5000)/(1-(D20+0.02+$K$1)-$S$1-$U$1))/140,0)+0.98</f>
        <v>467.98</v>
      </c>
      <c r="J20">
        <f>ROUNDDOWN(((H20+E20+4000)/(1-(D20+0.02+$K$1)-$S$1-$U$1))/140,0)+0.98</f>
        <v>456.98</v>
      </c>
      <c r="K20">
        <f>ROUNDDOWN(((H20+E20+3000)/(1-(D20+0.02+$K$1)-$S$1-$U$1))/140,0)+0.98</f>
        <v>446.98</v>
      </c>
      <c r="L20">
        <f>ROUNDDOWN(((H20+E20+2000)/(1-(D20+0.02+$K$1)-$S$1-$U$1))/140,0)+0.98</f>
        <v>435.98</v>
      </c>
      <c r="M20">
        <f>ROUNDDOWN(((H20+E20+1000)/(1-(D20+0.02+$K$1)-$S$1-$U$1))/140,0)+0.98</f>
        <v>424.98</v>
      </c>
      <c r="N20">
        <f>ROUNDDOWN(((H20+E20+500)/(1-(D20+0.02+$K$1)-$S$1-$U$1))/140,0)+0.98</f>
        <v>419.98</v>
      </c>
      <c r="O20">
        <f>ROUNDDOWN(((H20+E20+0)/(1-(D20+0.02+$K$1)-$S$1-$U$1))/140,0)+0.98</f>
        <v>414.98</v>
      </c>
    </row>
    <row r="21" spans="3:15">
      <c r="C21" t="s">
        <v>36</v>
      </c>
      <c r="D21" s="13">
        <v>0.153</v>
      </c>
      <c r="E21" s="12">
        <v>4500</v>
      </c>
      <c r="H21" s="12">
        <f>E4</f>
        <v>37000</v>
      </c>
      <c r="I21">
        <f>ROUNDDOWN(((H21+E21+5000)/(1-(D21+0.02+$K$1)-$S$1-$U$1))/140,0)+0.98</f>
        <v>509.98</v>
      </c>
      <c r="J21">
        <f>ROUNDDOWN(((H21+E21+4000)/(1-(D21+0.02+$K$1)-$S$1-$U$1))/140,0)+0.98</f>
        <v>498.98</v>
      </c>
      <c r="K21">
        <f>ROUNDDOWN(((H21+E21+3000)/(1-(D21+0.02+$K$1)-$S$1-$U$1))/140,0)+0.98</f>
        <v>487.98</v>
      </c>
      <c r="L21">
        <f>ROUNDDOWN(((H21+E21+2000)/(1-(D21+0.02+$K$1)-$S$1-$U$1))/140,0)+0.98</f>
        <v>476.98</v>
      </c>
      <c r="M21">
        <f>ROUNDDOWN(((H21+E21+1000)/(1-(D21+0.02+$K$1)-$S$1-$U$1))/140,0)+0.98</f>
        <v>465.98</v>
      </c>
      <c r="N21">
        <f>ROUNDDOWN(((H21+E21+500)/(1-(D21+0.02+$K$1)-$S$1-$U$1))/140,0)+0.98</f>
        <v>460.98</v>
      </c>
      <c r="O21">
        <f>ROUNDDOWN(((H21+E21+0)/(1-(D21+0.02+$K$1)-$S$1-$U$1))/140,0)+0.98</f>
        <v>454.98</v>
      </c>
    </row>
    <row r="23" spans="3:3">
      <c r="C23" s="10" t="s">
        <v>115</v>
      </c>
    </row>
    <row r="24" spans="3:3">
      <c r="C24" s="10" t="s">
        <v>116</v>
      </c>
    </row>
  </sheetData>
  <dataValidations count="1">
    <dataValidation type="list" sqref="F1">
      <formula1>設定!$A$17:$A$32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"/>
  <sheetViews>
    <sheetView workbookViewId="0">
      <pane ySplit="2" topLeftCell="A3" activePane="bottomLeft" state="frozen"/>
      <selection/>
      <selection pane="bottomLeft" activeCell="C4" sqref="C4"/>
    </sheetView>
  </sheetViews>
  <sheetFormatPr defaultColWidth="9" defaultRowHeight="13.2"/>
  <cols>
    <col min="1" max="1" width="11" customWidth="1"/>
    <col min="2" max="2" width="13" customWidth="1"/>
    <col min="3" max="3" width="11" customWidth="1"/>
    <col min="4" max="5" width="13" customWidth="1"/>
    <col min="6" max="7" width="12" customWidth="1"/>
    <col min="8" max="8" width="11" customWidth="1"/>
    <col min="9" max="9" width="14" customWidth="1"/>
    <col min="10" max="10" width="11" customWidth="1"/>
    <col min="11" max="11" width="10" customWidth="1"/>
    <col min="12" max="12" width="14" customWidth="1"/>
    <col min="13" max="13" width="10" customWidth="1"/>
    <col min="14" max="16" width="14" customWidth="1"/>
    <col min="17" max="17" width="10" customWidth="1"/>
    <col min="18" max="18" width="11" customWidth="1"/>
    <col min="19" max="19" width="10" customWidth="1"/>
    <col min="20" max="20" width="11" customWidth="1"/>
    <col min="21" max="21" width="10" customWidth="1"/>
  </cols>
  <sheetData>
    <row r="1" spans="1:21">
      <c r="A1" s="7" t="s">
        <v>10</v>
      </c>
      <c r="B1" t="s">
        <v>17</v>
      </c>
      <c r="C1" s="7" t="s">
        <v>79</v>
      </c>
      <c r="D1" s="14">
        <f>設定!$B$2</f>
        <v>159.245</v>
      </c>
      <c r="E1" s="7" t="s">
        <v>80</v>
      </c>
      <c r="F1" s="17" t="s">
        <v>28</v>
      </c>
      <c r="H1" s="7" t="s">
        <v>81</v>
      </c>
      <c r="I1" s="13">
        <f>VLOOKUP(F1,設定!$A$17:$B$32,2,FALSE)+0.02+K1</f>
        <v>0.1325</v>
      </c>
      <c r="J1" s="7" t="s">
        <v>82</v>
      </c>
      <c r="K1" s="19">
        <v>-0.02</v>
      </c>
      <c r="R1" s="7" t="s">
        <v>83</v>
      </c>
      <c r="S1" s="13">
        <f>設定!$B$3</f>
        <v>0.1</v>
      </c>
      <c r="T1" s="7" t="s">
        <v>84</v>
      </c>
      <c r="U1" s="13">
        <f>設定!$B$4</f>
        <v>0.025</v>
      </c>
    </row>
    <row r="2" spans="1:16">
      <c r="A2" s="18" t="s">
        <v>85</v>
      </c>
      <c r="B2" s="18" t="s">
        <v>86</v>
      </c>
      <c r="D2" s="18" t="s">
        <v>87</v>
      </c>
      <c r="E2" s="18" t="s">
        <v>88</v>
      </c>
      <c r="F2" s="18" t="s">
        <v>89</v>
      </c>
      <c r="G2" s="18" t="s">
        <v>90</v>
      </c>
      <c r="H2" s="18" t="s">
        <v>91</v>
      </c>
      <c r="I2" s="18" t="s">
        <v>92</v>
      </c>
      <c r="J2" s="18" t="s">
        <v>93</v>
      </c>
      <c r="K2" s="18" t="s">
        <v>94</v>
      </c>
      <c r="L2" s="18" t="s">
        <v>95</v>
      </c>
      <c r="M2" s="18" t="s">
        <v>96</v>
      </c>
      <c r="N2" s="18" t="s">
        <v>97</v>
      </c>
      <c r="P2" s="18" t="s">
        <v>98</v>
      </c>
    </row>
    <row r="3" spans="1:16">
      <c r="A3">
        <f t="shared" ref="A3:A8" si="0">D3+J3</f>
        <v>206.98</v>
      </c>
      <c r="B3" s="7" t="s">
        <v>99</v>
      </c>
      <c r="C3">
        <f>J18</f>
        <v>156.98</v>
      </c>
      <c r="D3">
        <f t="shared" ref="D3:D8" si="1">INT(C3)+0.98</f>
        <v>156.98</v>
      </c>
      <c r="E3" s="12">
        <f>$E$4</f>
        <v>9800</v>
      </c>
      <c r="F3">
        <f>$F$4</f>
        <v>0</v>
      </c>
      <c r="G3" s="12">
        <f>D3*$D$1</f>
        <v>24998.2801</v>
      </c>
      <c r="H3" s="12">
        <f>$H$4</f>
        <v>2000</v>
      </c>
      <c r="I3" s="12">
        <f>((D3+J3)*$D$1)*$I$1</f>
        <v>4367.27023825</v>
      </c>
      <c r="J3">
        <f t="shared" ref="J3:J8" si="2">_xlfn.IFS(D3&gt;=800,260,D3&gt;=600,210,D3&gt;=500,155,D3&gt;=400,130,D3&gt;=300,105,D3&gt;=200,75,D3&gt;=100,50,D3&gt;=60,30,D3&gt;=40,20,D3&lt;40,15)</f>
        <v>50</v>
      </c>
      <c r="K3" s="13">
        <f>$S$1</f>
        <v>0.1</v>
      </c>
      <c r="L3" s="12">
        <f t="shared" ref="L3:L8" si="3">G3-H3-I3-E3-N3-P3+F3</f>
        <v>4909.99984925</v>
      </c>
      <c r="M3" s="13">
        <f t="shared" ref="M3:M8" si="4">L3/G3</f>
        <v>0.196413506433589</v>
      </c>
      <c r="N3" s="12">
        <f>(D3+J3)*K3*$D$1</f>
        <v>3296.05301</v>
      </c>
      <c r="P3" s="12">
        <f>G3*$U$1</f>
        <v>624.9570025</v>
      </c>
    </row>
    <row r="4" spans="1:16">
      <c r="A4">
        <f t="shared" si="0"/>
        <v>562.98</v>
      </c>
      <c r="B4" s="17" t="s">
        <v>100</v>
      </c>
      <c r="C4" s="9">
        <v>432</v>
      </c>
      <c r="D4">
        <f t="shared" si="1"/>
        <v>432.98</v>
      </c>
      <c r="E4" s="8">
        <v>9800</v>
      </c>
      <c r="F4">
        <v>0</v>
      </c>
      <c r="G4" s="12">
        <f>D4*$D$1</f>
        <v>68949.9001</v>
      </c>
      <c r="H4" s="8">
        <v>2000</v>
      </c>
      <c r="I4" s="12">
        <f>((D4+J4)*$D$1)*$I$1</f>
        <v>11878.85688825</v>
      </c>
      <c r="J4">
        <f t="shared" si="2"/>
        <v>130</v>
      </c>
      <c r="K4" s="13">
        <f>$S$1</f>
        <v>0.1</v>
      </c>
      <c r="L4" s="12">
        <f t="shared" si="3"/>
        <v>34582.12069925</v>
      </c>
      <c r="M4" s="13">
        <f t="shared" si="4"/>
        <v>0.501554326389082</v>
      </c>
      <c r="N4" s="12">
        <f>(D4+J4)*K4*$D$1</f>
        <v>8965.17501</v>
      </c>
      <c r="P4" s="12">
        <f>G4*$U$1</f>
        <v>1723.7475025</v>
      </c>
    </row>
    <row r="5" spans="1:16">
      <c r="A5">
        <f t="shared" si="0"/>
        <v>540.98</v>
      </c>
      <c r="B5" s="13">
        <v>0.05</v>
      </c>
      <c r="C5">
        <f>$C$4*(1-B5)</f>
        <v>410.4</v>
      </c>
      <c r="D5">
        <f t="shared" si="1"/>
        <v>410.98</v>
      </c>
      <c r="E5" s="12">
        <f>$E$4</f>
        <v>9800</v>
      </c>
      <c r="F5">
        <f>$F$4</f>
        <v>0</v>
      </c>
      <c r="G5" s="12">
        <f>D5*$D$1</f>
        <v>65446.5101</v>
      </c>
      <c r="H5" s="12">
        <f>$H$4</f>
        <v>2000</v>
      </c>
      <c r="I5" s="12">
        <f>((D5+J5)*$D$1)*$I$1</f>
        <v>11414.65771325</v>
      </c>
      <c r="J5">
        <f t="shared" si="2"/>
        <v>130</v>
      </c>
      <c r="K5" s="13">
        <f>$S$1</f>
        <v>0.1</v>
      </c>
      <c r="L5" s="12">
        <f t="shared" si="3"/>
        <v>31980.85362425</v>
      </c>
      <c r="M5" s="13">
        <f t="shared" si="4"/>
        <v>0.488656363423876</v>
      </c>
      <c r="N5" s="12">
        <f>(D5+J5)*K5*$D$1</f>
        <v>8614.83601</v>
      </c>
      <c r="P5" s="12">
        <f>G5*$U$1</f>
        <v>1636.1627525</v>
      </c>
    </row>
    <row r="6" spans="1:16">
      <c r="A6">
        <f t="shared" si="0"/>
        <v>502.98</v>
      </c>
      <c r="B6" s="13">
        <v>0.08</v>
      </c>
      <c r="C6">
        <f>$C$4*(1-B6)</f>
        <v>397.44</v>
      </c>
      <c r="D6">
        <f t="shared" si="1"/>
        <v>397.98</v>
      </c>
      <c r="E6" s="12">
        <f>$E$4</f>
        <v>9800</v>
      </c>
      <c r="F6">
        <f>$F$4</f>
        <v>0</v>
      </c>
      <c r="G6" s="12">
        <f>D6*$D$1</f>
        <v>63376.3251</v>
      </c>
      <c r="H6" s="12">
        <f>$H$4</f>
        <v>2000</v>
      </c>
      <c r="I6" s="12">
        <f>((D6+J6)*$D$1)*$I$1</f>
        <v>10612.85913825</v>
      </c>
      <c r="J6">
        <f t="shared" si="2"/>
        <v>105</v>
      </c>
      <c r="K6" s="13">
        <f>$S$1</f>
        <v>0.1</v>
      </c>
      <c r="L6" s="12">
        <f t="shared" si="3"/>
        <v>31369.35282425</v>
      </c>
      <c r="M6" s="13">
        <f t="shared" si="4"/>
        <v>0.494969576963528</v>
      </c>
      <c r="N6" s="12">
        <f>(D6+J6)*K6*$D$1</f>
        <v>8009.70501</v>
      </c>
      <c r="P6" s="12">
        <f>G6*$U$1</f>
        <v>1584.4081275</v>
      </c>
    </row>
    <row r="7" spans="1:16">
      <c r="A7">
        <f t="shared" si="0"/>
        <v>493.98</v>
      </c>
      <c r="B7" s="13">
        <v>0.1</v>
      </c>
      <c r="C7">
        <f>$C$4*(1-B7)</f>
        <v>388.8</v>
      </c>
      <c r="D7">
        <f t="shared" si="1"/>
        <v>388.98</v>
      </c>
      <c r="E7" s="12">
        <f>$E$4</f>
        <v>9800</v>
      </c>
      <c r="F7">
        <f>$F$4</f>
        <v>0</v>
      </c>
      <c r="G7" s="12">
        <f>D7*$D$1</f>
        <v>61943.1201</v>
      </c>
      <c r="H7" s="12">
        <f>$H$4</f>
        <v>2000</v>
      </c>
      <c r="I7" s="12">
        <f>((D7+J7)*$D$1)*$I$1</f>
        <v>10422.95947575</v>
      </c>
      <c r="J7">
        <f t="shared" si="2"/>
        <v>105</v>
      </c>
      <c r="K7" s="13">
        <f>$S$1</f>
        <v>0.1</v>
      </c>
      <c r="L7" s="12">
        <f t="shared" si="3"/>
        <v>30305.19811175</v>
      </c>
      <c r="M7" s="13">
        <f t="shared" si="4"/>
        <v>0.489242357550375</v>
      </c>
      <c r="N7" s="12">
        <f>(D7+J7)*K7*$D$1</f>
        <v>7866.38451</v>
      </c>
      <c r="P7" s="12">
        <f>G7*$U$1</f>
        <v>1548.5780025</v>
      </c>
    </row>
    <row r="8" spans="1:16">
      <c r="A8">
        <f t="shared" si="0"/>
        <v>472.98</v>
      </c>
      <c r="B8" s="13">
        <v>0.15</v>
      </c>
      <c r="C8">
        <f>$C$4*(1-B8)</f>
        <v>367.2</v>
      </c>
      <c r="D8">
        <f t="shared" si="1"/>
        <v>367.98</v>
      </c>
      <c r="E8" s="12">
        <f>$E$4</f>
        <v>9800</v>
      </c>
      <c r="F8">
        <f>$F$4</f>
        <v>0</v>
      </c>
      <c r="G8" s="12">
        <f>D8*$D$1</f>
        <v>58598.9751</v>
      </c>
      <c r="H8" s="12">
        <f>$H$4</f>
        <v>2000</v>
      </c>
      <c r="I8" s="12">
        <f>((D8+J8)*$D$1)*$I$1</f>
        <v>9979.86026325</v>
      </c>
      <c r="J8">
        <f t="shared" si="2"/>
        <v>105</v>
      </c>
      <c r="K8" s="13">
        <f>$S$1</f>
        <v>0.1</v>
      </c>
      <c r="L8" s="12">
        <f t="shared" si="3"/>
        <v>27822.17044925</v>
      </c>
      <c r="M8" s="13">
        <f t="shared" si="4"/>
        <v>0.474789369639504</v>
      </c>
      <c r="N8" s="12">
        <f>(D8+J8)*K8*$D$1</f>
        <v>7531.97001</v>
      </c>
      <c r="P8" s="12">
        <f>G8*$U$1</f>
        <v>1464.9743775</v>
      </c>
    </row>
    <row r="11" spans="1:16">
      <c r="A11">
        <f>D11+J11</f>
        <v>206.98</v>
      </c>
      <c r="B11" s="7" t="s">
        <v>101</v>
      </c>
      <c r="C11">
        <f>J18</f>
        <v>156.98</v>
      </c>
      <c r="D11">
        <f>INT(C11)+0.98</f>
        <v>156.98</v>
      </c>
      <c r="E11" s="12">
        <f>$E$4</f>
        <v>9800</v>
      </c>
      <c r="F11">
        <f>$F$4</f>
        <v>0</v>
      </c>
      <c r="G11" s="12">
        <f>D11*$D$1</f>
        <v>24998.2801</v>
      </c>
      <c r="H11" s="12">
        <f>$H$4</f>
        <v>2000</v>
      </c>
      <c r="I11" s="12">
        <f>((D11+J11)*$D$1)*$I$1</f>
        <v>4367.27023825</v>
      </c>
      <c r="J11">
        <f>_xlfn.IFS(D11&gt;=800,260,D11&gt;=600,210,D11&gt;=500,155,D11&gt;=400,130,D11&gt;=300,105,D11&gt;=200,75,D11&gt;=100,50,D11&gt;=60,30,D11&gt;=40,20,D11&lt;40,15)</f>
        <v>50</v>
      </c>
      <c r="K11" s="13">
        <f>$S$1</f>
        <v>0.1</v>
      </c>
      <c r="L11" s="12">
        <f>G11-H11-I11-E11-N11-P11+F11</f>
        <v>4909.99984925</v>
      </c>
      <c r="M11" s="13">
        <f>L11/G11</f>
        <v>0.196413506433589</v>
      </c>
      <c r="N11" s="12">
        <f>(D11+J11)*K11*$D$1</f>
        <v>3296.05301</v>
      </c>
      <c r="P11" s="12">
        <f>G11*$U$1</f>
        <v>624.9570025</v>
      </c>
    </row>
    <row r="12" spans="1:16">
      <c r="A12">
        <f>D12+J12</f>
        <v>315.98</v>
      </c>
      <c r="B12" t="s">
        <v>102</v>
      </c>
      <c r="C12" s="9">
        <v>240</v>
      </c>
      <c r="D12">
        <f>INT(C12)+0.98</f>
        <v>240.98</v>
      </c>
      <c r="E12" s="12">
        <f>$E$4</f>
        <v>9800</v>
      </c>
      <c r="F12">
        <f>$F$4</f>
        <v>0</v>
      </c>
      <c r="G12" s="12">
        <f>D12*$D$1</f>
        <v>38374.8601</v>
      </c>
      <c r="H12" s="12">
        <f>$H$4</f>
        <v>2000</v>
      </c>
      <c r="I12" s="12">
        <f>((D12+J12)*$D$1)*$I$1</f>
        <v>6667.16615075</v>
      </c>
      <c r="J12">
        <f>_xlfn.IFS(D12&gt;=800,260,D12&gt;=600,210,D12&gt;=500,155,D12&gt;=400,130,D12&gt;=300,105,D12&gt;=200,75,D12&gt;=100,50,D12&gt;=60,30,D12&gt;=40,20,D12&lt;40,15)</f>
        <v>75</v>
      </c>
      <c r="K12" s="13">
        <f>$S$1</f>
        <v>0.1</v>
      </c>
      <c r="L12" s="12">
        <f>G12-H12-I12-E12-N12-P12+F12</f>
        <v>13916.49893675</v>
      </c>
      <c r="M12" s="13">
        <f>L12/G12</f>
        <v>0.362646245497322</v>
      </c>
      <c r="N12" s="12">
        <f>(D12+J12)*K12*$D$1</f>
        <v>5031.82351</v>
      </c>
      <c r="P12" s="12">
        <f>G12*$U$1</f>
        <v>959.3715025</v>
      </c>
    </row>
    <row r="15" spans="3:3">
      <c r="C15" s="1" t="s">
        <v>103</v>
      </c>
    </row>
    <row r="16" spans="4:15">
      <c r="D16" s="18" t="s">
        <v>104</v>
      </c>
      <c r="E16" s="18" t="s">
        <v>105</v>
      </c>
      <c r="H16" s="18" t="s">
        <v>106</v>
      </c>
      <c r="I16" s="18" t="s">
        <v>107</v>
      </c>
      <c r="J16" s="18" t="s">
        <v>108</v>
      </c>
      <c r="K16" s="18" t="s">
        <v>109</v>
      </c>
      <c r="L16" s="18" t="s">
        <v>110</v>
      </c>
      <c r="M16" s="18" t="s">
        <v>111</v>
      </c>
      <c r="N16" s="18" t="s">
        <v>112</v>
      </c>
      <c r="O16" s="18" t="s">
        <v>113</v>
      </c>
    </row>
    <row r="17" spans="3:15">
      <c r="C17" t="s">
        <v>28</v>
      </c>
      <c r="D17" s="13">
        <v>0.1325</v>
      </c>
      <c r="E17" s="12">
        <v>2000</v>
      </c>
      <c r="H17" s="12">
        <f>E4</f>
        <v>9800</v>
      </c>
      <c r="I17">
        <f>ROUNDDOWN(((H17+E17+5000)/(1-(D17+0.02+$K$1)-$S$1-$U$1))/140,0)+0.98</f>
        <v>161.98</v>
      </c>
      <c r="J17">
        <f>ROUNDDOWN(((H17+E17+4000)/(1-(D17+0.02+$K$1)-$S$1-$U$1))/140,0)+0.98</f>
        <v>151.98</v>
      </c>
      <c r="K17">
        <f>ROUNDDOWN(((H17+E17+3000)/(1-(D17+0.02+$K$1)-$S$1-$U$1))/140,0)+0.98</f>
        <v>142.98</v>
      </c>
      <c r="L17">
        <f>ROUNDDOWN(((H17+E17+2000)/(1-(D17+0.02+$K$1)-$S$1-$U$1))/140,0)+0.98</f>
        <v>132.98</v>
      </c>
      <c r="M17">
        <f>ROUNDDOWN(((H17+E17+1000)/(1-(D17+0.02+$K$1)-$S$1-$U$1))/140,0)+0.98</f>
        <v>123.98</v>
      </c>
      <c r="N17">
        <f>ROUNDDOWN(((H17+E17+500)/(1-(D17+0.02+$K$1)-$S$1-$U$1))/140,0)+0.98</f>
        <v>118.98</v>
      </c>
      <c r="O17">
        <f>ROUNDDOWN(((H17+E17+0)/(1-(D17+0.02+$K$1)-$S$1-$U$1))/140,0)+0.98</f>
        <v>113.98</v>
      </c>
    </row>
    <row r="18" spans="3:15">
      <c r="C18" t="s">
        <v>114</v>
      </c>
      <c r="D18" s="13">
        <v>0.153</v>
      </c>
      <c r="E18" s="12">
        <v>2000</v>
      </c>
      <c r="H18" s="12">
        <f>E4</f>
        <v>9800</v>
      </c>
      <c r="I18">
        <f>ROUNDDOWN(((H18+E18+5000)/(1-(D18+0.02+$K$1)-$S$1-$U$1))/140,0)+0.98</f>
        <v>166.98</v>
      </c>
      <c r="J18">
        <f>ROUNDDOWN(((H18+E18+4000)/(1-(D18+0.02+$K$1)-$S$1-$U$1))/140,0)+0.98</f>
        <v>156.98</v>
      </c>
      <c r="K18">
        <f>ROUNDDOWN(((H18+E18+3000)/(1-(D18+0.02+$K$1)-$S$1-$U$1))/140,0)+0.98</f>
        <v>146.98</v>
      </c>
      <c r="L18">
        <f>ROUNDDOWN(((H18+E18+2000)/(1-(D18+0.02+$K$1)-$S$1-$U$1))/140,0)+0.98</f>
        <v>136.98</v>
      </c>
      <c r="M18">
        <f>ROUNDDOWN(((H18+E18+1000)/(1-(D18+0.02+$K$1)-$S$1-$U$1))/140,0)+0.98</f>
        <v>126.98</v>
      </c>
      <c r="N18">
        <f>ROUNDDOWN(((H18+E18+500)/(1-(D18+0.02+$K$1)-$S$1-$U$1))/140,0)+0.98</f>
        <v>121.98</v>
      </c>
      <c r="O18">
        <f>ROUNDDOWN(((H18+E18+0)/(1-(D18+0.02+$K$1)-$S$1-$U$1))/140,0)+0.98</f>
        <v>116.98</v>
      </c>
    </row>
    <row r="19" spans="3:15">
      <c r="C19" t="s">
        <v>40</v>
      </c>
      <c r="D19" s="13">
        <v>0.1325</v>
      </c>
      <c r="E19" s="12">
        <v>3500</v>
      </c>
      <c r="H19" s="12">
        <f>E4</f>
        <v>9800</v>
      </c>
      <c r="I19">
        <f>ROUNDDOWN(((H19+E19+5000)/(1-(D19+0.02+$K$1)-$S$1-$U$1))/140,0)+0.98</f>
        <v>176.98</v>
      </c>
      <c r="J19">
        <f>ROUNDDOWN(((H19+E19+4000)/(1-(D19+0.02+$K$1)-$S$1-$U$1))/140,0)+0.98</f>
        <v>166.98</v>
      </c>
      <c r="K19">
        <f>ROUNDDOWN(((H19+E19+3000)/(1-(D19+0.02+$K$1)-$S$1-$U$1))/140,0)+0.98</f>
        <v>156.98</v>
      </c>
      <c r="L19">
        <f>ROUNDDOWN(((H19+E19+2000)/(1-(D19+0.02+$K$1)-$S$1-$U$1))/140,0)+0.98</f>
        <v>147.98</v>
      </c>
      <c r="M19">
        <f>ROUNDDOWN(((H19+E19+1000)/(1-(D19+0.02+$K$1)-$S$1-$U$1))/140,0)+0.98</f>
        <v>137.98</v>
      </c>
      <c r="N19">
        <f>ROUNDDOWN(((H19+E19+500)/(1-(D19+0.02+$K$1)-$S$1-$U$1))/140,0)+0.98</f>
        <v>132.98</v>
      </c>
      <c r="O19">
        <f>ROUNDDOWN(((H19+E19+0)/(1-(D19+0.02+$K$1)-$S$1-$U$1))/140,0)+0.98</f>
        <v>127.98</v>
      </c>
    </row>
    <row r="20" spans="3:15">
      <c r="C20" t="s">
        <v>30</v>
      </c>
      <c r="D20" s="13">
        <v>0.1325</v>
      </c>
      <c r="E20" s="12">
        <v>2000</v>
      </c>
      <c r="H20" s="12">
        <f>E4</f>
        <v>9800</v>
      </c>
      <c r="I20">
        <f>ROUNDDOWN(((H20+E20+5000)/(1-(D20+0.02+$K$1)-$S$1-$U$1))/140,0)+0.98</f>
        <v>161.98</v>
      </c>
      <c r="J20">
        <f>ROUNDDOWN(((H20+E20+4000)/(1-(D20+0.02+$K$1)-$S$1-$U$1))/140,0)+0.98</f>
        <v>151.98</v>
      </c>
      <c r="K20">
        <f>ROUNDDOWN(((H20+E20+3000)/(1-(D20+0.02+$K$1)-$S$1-$U$1))/140,0)+0.98</f>
        <v>142.98</v>
      </c>
      <c r="L20">
        <f>ROUNDDOWN(((H20+E20+2000)/(1-(D20+0.02+$K$1)-$S$1-$U$1))/140,0)+0.98</f>
        <v>132.98</v>
      </c>
      <c r="M20">
        <f>ROUNDDOWN(((H20+E20+1000)/(1-(D20+0.02+$K$1)-$S$1-$U$1))/140,0)+0.98</f>
        <v>123.98</v>
      </c>
      <c r="N20">
        <f>ROUNDDOWN(((H20+E20+500)/(1-(D20+0.02+$K$1)-$S$1-$U$1))/140,0)+0.98</f>
        <v>118.98</v>
      </c>
      <c r="O20">
        <f>ROUNDDOWN(((H20+E20+0)/(1-(D20+0.02+$K$1)-$S$1-$U$1))/140,0)+0.98</f>
        <v>113.98</v>
      </c>
    </row>
    <row r="21" spans="3:15">
      <c r="C21" t="s">
        <v>36</v>
      </c>
      <c r="D21" s="13">
        <v>0.153</v>
      </c>
      <c r="E21" s="12">
        <v>4500</v>
      </c>
      <c r="H21" s="12">
        <f>E4</f>
        <v>9800</v>
      </c>
      <c r="I21">
        <f>ROUNDDOWN(((H21+E21+5000)/(1-(D21+0.02+$K$1)-$S$1-$U$1))/140,0)+0.98</f>
        <v>190.98</v>
      </c>
      <c r="J21">
        <f>ROUNDDOWN(((H21+E21+4000)/(1-(D21+0.02+$K$1)-$S$1-$U$1))/140,0)+0.98</f>
        <v>181.98</v>
      </c>
      <c r="K21">
        <f>ROUNDDOWN(((H21+E21+3000)/(1-(D21+0.02+$K$1)-$S$1-$U$1))/140,0)+0.98</f>
        <v>171.98</v>
      </c>
      <c r="L21">
        <f>ROUNDDOWN(((H21+E21+2000)/(1-(D21+0.02+$K$1)-$S$1-$U$1))/140,0)+0.98</f>
        <v>161.98</v>
      </c>
      <c r="M21">
        <f>ROUNDDOWN(((H21+E21+1000)/(1-(D21+0.02+$K$1)-$S$1-$U$1))/140,0)+0.98</f>
        <v>151.98</v>
      </c>
      <c r="N21">
        <f>ROUNDDOWN(((H21+E21+500)/(1-(D21+0.02+$K$1)-$S$1-$U$1))/140,0)+0.98</f>
        <v>146.98</v>
      </c>
      <c r="O21">
        <f>ROUNDDOWN(((H21+E21+0)/(1-(D21+0.02+$K$1)-$S$1-$U$1))/140,0)+0.98</f>
        <v>141.98</v>
      </c>
    </row>
    <row r="23" spans="3:3">
      <c r="C23" s="10" t="s">
        <v>115</v>
      </c>
    </row>
    <row r="24" spans="3:3">
      <c r="C24" s="10" t="s">
        <v>116</v>
      </c>
    </row>
  </sheetData>
  <dataValidations count="1">
    <dataValidation type="list" sqref="F1">
      <formula1>設定!$A$17:$A$32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workbookViewId="0">
      <selection activeCell="A1" sqref="A1"/>
    </sheetView>
  </sheetViews>
  <sheetFormatPr defaultColWidth="9" defaultRowHeight="13.2" outlineLevelCol="2"/>
  <cols>
    <col min="1" max="1" width="28" customWidth="1"/>
    <col min="2" max="2" width="16" customWidth="1"/>
    <col min="3" max="3" width="52" customWidth="1"/>
  </cols>
  <sheetData>
    <row r="1" spans="1:1">
      <c r="A1" s="1" t="s">
        <v>117</v>
      </c>
    </row>
    <row r="3" spans="1:1">
      <c r="A3" s="7" t="s">
        <v>118</v>
      </c>
    </row>
    <row r="4" spans="1:2">
      <c r="A4" t="s">
        <v>119</v>
      </c>
      <c r="B4" s="8">
        <v>5000</v>
      </c>
    </row>
    <row r="5" spans="1:3">
      <c r="A5" t="s">
        <v>24</v>
      </c>
      <c r="B5" s="9" t="s">
        <v>32</v>
      </c>
      <c r="C5" s="10" t="s">
        <v>120</v>
      </c>
    </row>
    <row r="6" spans="1:3">
      <c r="A6" t="s">
        <v>121</v>
      </c>
      <c r="B6" s="9" t="s">
        <v>13</v>
      </c>
      <c r="C6" s="10" t="s">
        <v>122</v>
      </c>
    </row>
    <row r="7" spans="1:3">
      <c r="A7" t="s">
        <v>123</v>
      </c>
      <c r="B7" s="11">
        <v>0</v>
      </c>
      <c r="C7" s="10" t="s">
        <v>124</v>
      </c>
    </row>
    <row r="9" spans="1:1">
      <c r="A9" s="7" t="s">
        <v>125</v>
      </c>
    </row>
    <row r="10" spans="1:2">
      <c r="A10" t="s">
        <v>126</v>
      </c>
      <c r="B10" s="12">
        <f>VLOOKUP(B5,設定!$A$17:$D$32,3,FALSE)</f>
        <v>2000</v>
      </c>
    </row>
    <row r="11" spans="1:2">
      <c r="A11" t="s">
        <v>127</v>
      </c>
      <c r="B11" s="13">
        <f>VLOOKUP(B6,設定!$A$9:$B$13,2,FALSE)</f>
        <v>0.185</v>
      </c>
    </row>
    <row r="12" spans="1:2">
      <c r="A12" t="s">
        <v>94</v>
      </c>
      <c r="B12" s="13">
        <f>設定!$B$3</f>
        <v>0.1</v>
      </c>
    </row>
    <row r="13" spans="1:2">
      <c r="A13" t="s">
        <v>128</v>
      </c>
      <c r="B13" s="13">
        <f>設定!$B$4</f>
        <v>0.025</v>
      </c>
    </row>
    <row r="14" spans="1:2">
      <c r="A14" t="s">
        <v>129</v>
      </c>
      <c r="B14" s="13">
        <f>設定!$B$5</f>
        <v>0.1</v>
      </c>
    </row>
    <row r="15" spans="1:2">
      <c r="A15" t="s">
        <v>130</v>
      </c>
      <c r="B15" s="14">
        <f>設定!$B$2</f>
        <v>159.245</v>
      </c>
    </row>
    <row r="17" spans="1:1">
      <c r="A17" s="7" t="s">
        <v>131</v>
      </c>
    </row>
    <row r="18" spans="1:3">
      <c r="A18" t="s">
        <v>132</v>
      </c>
      <c r="B18" s="15">
        <f>(B4+B10)/((1-B11-B12-B13)*B15)</f>
        <v>63.7064117318087</v>
      </c>
      <c r="C18" s="10" t="s">
        <v>133</v>
      </c>
    </row>
    <row r="19" spans="1:3">
      <c r="A19" t="s">
        <v>134</v>
      </c>
      <c r="B19" s="15">
        <f>(B4+B10)/((1-B11-B12-B13-B14)*B15)</f>
        <v>74.5041086355051</v>
      </c>
      <c r="C19" s="10" t="s">
        <v>135</v>
      </c>
    </row>
    <row r="21" spans="1:1">
      <c r="A21" s="7" t="s">
        <v>136</v>
      </c>
    </row>
    <row r="22" ht="16.2" customHeight="1" spans="1:3">
      <c r="A22" t="s">
        <v>137</v>
      </c>
      <c r="B22" s="16" t="str">
        <f>IF(B7=0,"SOLD中央値未入力",IF(B7*0.9&gt;=B19,"✅ GO","❌ NOGO"))</f>
        <v>SOLD中央値未入力</v>
      </c>
      <c r="C22" s="10" t="s">
        <v>138</v>
      </c>
    </row>
    <row r="23" spans="1:3">
      <c r="A23" t="s">
        <v>139</v>
      </c>
      <c r="B23" s="15">
        <f>IF(B7=0,0,B7*0.95)</f>
        <v>0</v>
      </c>
      <c r="C23" s="10" t="s">
        <v>140</v>
      </c>
    </row>
    <row r="24" spans="1:2">
      <c r="A24" t="s">
        <v>141</v>
      </c>
      <c r="B24" s="12">
        <f>IF(B7=0,0,B23*B15*(1-B11-B12-B13)-B4-B10)</f>
        <v>0</v>
      </c>
    </row>
    <row r="25" spans="1:2">
      <c r="A25" t="s">
        <v>142</v>
      </c>
      <c r="B25" s="13">
        <f>IF(OR(B7=0,B23=0),0,(B23*B15*(1-B11-B12-B13)-B4-B10)/(B23*B15))</f>
        <v>0</v>
      </c>
    </row>
    <row r="28" spans="1:1">
      <c r="A28" s="1" t="s">
        <v>143</v>
      </c>
    </row>
    <row r="29" spans="1:1">
      <c r="A29" s="10" t="s">
        <v>144</v>
      </c>
    </row>
    <row r="30" spans="1:1">
      <c r="A30" s="10" t="s">
        <v>145</v>
      </c>
    </row>
    <row r="31" spans="1:1">
      <c r="A31" s="10" t="s">
        <v>146</v>
      </c>
    </row>
    <row r="32" spans="1:1">
      <c r="A32" s="10" t="s">
        <v>147</v>
      </c>
    </row>
    <row r="33" spans="1:1">
      <c r="A33" s="10" t="s">
        <v>148</v>
      </c>
    </row>
    <row r="34" spans="1:1">
      <c r="A34" s="10" t="s">
        <v>149</v>
      </c>
    </row>
    <row r="35" spans="1:1">
      <c r="A35" s="10" t="s">
        <v>150</v>
      </c>
    </row>
    <row r="36" spans="1:1">
      <c r="A36" s="10" t="s">
        <v>41</v>
      </c>
    </row>
    <row r="37" spans="1:1">
      <c r="A37" s="10" t="s">
        <v>151</v>
      </c>
    </row>
    <row r="38" spans="1:1">
      <c r="A38" s="10" t="s">
        <v>152</v>
      </c>
    </row>
    <row r="39" spans="1:1">
      <c r="A39" s="10" t="s">
        <v>153</v>
      </c>
    </row>
    <row r="40" spans="1:1">
      <c r="A40" s="10" t="s">
        <v>154</v>
      </c>
    </row>
  </sheetData>
  <mergeCells count="12"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A1" sqref="A1:C1"/>
    </sheetView>
  </sheetViews>
  <sheetFormatPr defaultColWidth="9" defaultRowHeight="13.2" outlineLevelCol="2"/>
  <cols>
    <col min="1" max="1" width="14" customWidth="1"/>
    <col min="2" max="2" width="58" customWidth="1"/>
    <col min="3" max="3" width="48" customWidth="1"/>
  </cols>
  <sheetData>
    <row r="1" spans="1:1">
      <c r="A1" s="1" t="s">
        <v>155</v>
      </c>
    </row>
    <row r="3" spans="1:3">
      <c r="A3" s="2" t="s">
        <v>156</v>
      </c>
      <c r="B3" s="2" t="s">
        <v>157</v>
      </c>
      <c r="C3" s="2" t="s">
        <v>158</v>
      </c>
    </row>
    <row r="4" spans="1:3">
      <c r="A4" s="3" t="s">
        <v>159</v>
      </c>
      <c r="B4" t="s">
        <v>160</v>
      </c>
      <c r="C4" t="s">
        <v>161</v>
      </c>
    </row>
    <row r="5" spans="1:3">
      <c r="A5" s="3" t="s">
        <v>159</v>
      </c>
      <c r="B5" t="s">
        <v>162</v>
      </c>
      <c r="C5" t="s">
        <v>163</v>
      </c>
    </row>
    <row r="6" spans="1:3">
      <c r="A6" s="4" t="s">
        <v>164</v>
      </c>
      <c r="B6" t="s">
        <v>165</v>
      </c>
      <c r="C6" t="s">
        <v>166</v>
      </c>
    </row>
    <row r="7" spans="1:3">
      <c r="A7" s="4" t="s">
        <v>164</v>
      </c>
      <c r="B7" t="s">
        <v>167</v>
      </c>
      <c r="C7" t="s">
        <v>168</v>
      </c>
    </row>
    <row r="8" spans="1:3">
      <c r="A8" s="4" t="s">
        <v>164</v>
      </c>
      <c r="B8" t="s">
        <v>169</v>
      </c>
      <c r="C8" t="s">
        <v>170</v>
      </c>
    </row>
    <row r="9" spans="1:3">
      <c r="A9" s="4" t="s">
        <v>164</v>
      </c>
      <c r="B9" t="s">
        <v>171</v>
      </c>
      <c r="C9" t="s">
        <v>172</v>
      </c>
    </row>
    <row r="10" spans="1:3">
      <c r="A10" s="5" t="s">
        <v>173</v>
      </c>
      <c r="B10" t="s">
        <v>174</v>
      </c>
      <c r="C10" t="s">
        <v>175</v>
      </c>
    </row>
    <row r="11" spans="1:3">
      <c r="A11" s="6" t="s">
        <v>176</v>
      </c>
      <c r="B11" t="s">
        <v>177</v>
      </c>
      <c r="C11" t="s">
        <v>178</v>
      </c>
    </row>
    <row r="12" spans="1:3">
      <c r="A12" s="6" t="s">
        <v>176</v>
      </c>
      <c r="B12" t="s">
        <v>179</v>
      </c>
      <c r="C12" t="s">
        <v>180</v>
      </c>
    </row>
    <row r="13" spans="1:3">
      <c r="A13" s="6" t="s">
        <v>176</v>
      </c>
      <c r="B13" t="s">
        <v>181</v>
      </c>
      <c r="C13" t="s">
        <v>182</v>
      </c>
    </row>
    <row r="14" spans="1:3">
      <c r="A14" s="6" t="s">
        <v>176</v>
      </c>
      <c r="B14" t="s">
        <v>183</v>
      </c>
      <c r="C14" t="s">
        <v>184</v>
      </c>
    </row>
    <row r="15" spans="1:3">
      <c r="A15" s="6" t="s">
        <v>176</v>
      </c>
      <c r="B15" t="s">
        <v>185</v>
      </c>
      <c r="C15" t="s">
        <v>186</v>
      </c>
    </row>
    <row r="17" spans="1:2">
      <c r="A17" t="s">
        <v>187</v>
      </c>
      <c r="B17" t="s">
        <v>188</v>
      </c>
    </row>
    <row r="18" spans="1:2">
      <c r="A18" t="s">
        <v>189</v>
      </c>
      <c r="B18" t="s">
        <v>190</v>
      </c>
    </row>
    <row r="19" spans="1:3">
      <c r="A19" t="s">
        <v>191</v>
      </c>
      <c r="B19" t="s">
        <v>192</v>
      </c>
      <c r="C19" t="s">
        <v>193</v>
      </c>
    </row>
    <row r="20" spans="1:3">
      <c r="A20" s="5" t="s">
        <v>194</v>
      </c>
      <c r="B20" t="s">
        <v>195</v>
      </c>
      <c r="C20" t="s">
        <v>196</v>
      </c>
    </row>
    <row r="21" spans="1:3">
      <c r="A21" s="4" t="s">
        <v>164</v>
      </c>
      <c r="B21" t="s">
        <v>197</v>
      </c>
      <c r="C21" t="s">
        <v>198</v>
      </c>
    </row>
    <row r="22" spans="1:3">
      <c r="A22" s="3" t="s">
        <v>159</v>
      </c>
      <c r="B22" t="s">
        <v>199</v>
      </c>
      <c r="C22" t="s">
        <v>200</v>
      </c>
    </row>
    <row r="23" spans="1:3">
      <c r="A23" s="4" t="s">
        <v>164</v>
      </c>
      <c r="B23" t="s">
        <v>201</v>
      </c>
      <c r="C23" t="s">
        <v>202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設定</vt:lpstr>
      <vt:lpstr>US計算</vt:lpstr>
      <vt:lpstr>UK計算</vt:lpstr>
      <vt:lpstr>AU計算</vt:lpstr>
      <vt:lpstr>仕入GATE</vt:lpstr>
      <vt:lpstr>変更履歴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imax2</cp:lastModifiedBy>
  <dcterms:created xsi:type="dcterms:W3CDTF">2026-04-12T00:52:00Z</dcterms:created>
  <dcterms:modified xsi:type="dcterms:W3CDTF">2026-04-14T21:39:32Z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</Properties>
</file>